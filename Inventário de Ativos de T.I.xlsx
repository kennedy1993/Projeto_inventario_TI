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vancoconstrucoes-my.sharepoint.com/personal/kennedy_lima_avancoconstrucoes_com_br/Documents/Documentos/Projeto_inventario_TI/"/>
    </mc:Choice>
  </mc:AlternateContent>
  <xr:revisionPtr revIDLastSave="8307" documentId="14_{55AC72A7-E8C5-444C-B8F8-C9F21EB440B4}" xr6:coauthVersionLast="47" xr6:coauthVersionMax="47" xr10:uidLastSave="{F0D85D75-1D9B-4452-8A4F-790F46AC599F}"/>
  <bookViews>
    <workbookView xWindow="28680" yWindow="-120" windowWidth="29040" windowHeight="15720" tabRatio="465" firstSheet="13" activeTab="13" xr2:uid="{00000000-000D-0000-FFFF-FFFF00000000}"/>
  </bookViews>
  <sheets>
    <sheet name="NOTEBOOKS" sheetId="37" r:id="rId1"/>
    <sheet name="NOTEBOOKS MG" sheetId="53" r:id="rId2"/>
    <sheet name="STARLINKS" sheetId="51" r:id="rId3"/>
    <sheet name="COMPRAS - MG " sheetId="52" r:id="rId4"/>
    <sheet name="NOTEBOOKS INSTITUTO" sheetId="36" r:id="rId5"/>
    <sheet name="RELOGIO DE PONTO" sheetId="38" r:id="rId6"/>
    <sheet name="MOUSES" sheetId="21" r:id="rId7"/>
    <sheet name="ROTEADORES" sheetId="15" r:id="rId8"/>
    <sheet name="COMPRAS" sheetId="41" r:id="rId9"/>
    <sheet name="ENDEREÇOS MINAS" sheetId="50" r:id="rId10"/>
    <sheet name="IMPRESSORAS E TONERS" sheetId="14" r:id="rId11"/>
    <sheet name="EQUIPAMENTOS" sheetId="44" r:id="rId12"/>
    <sheet name="CFTV" sheetId="16" r:id="rId13"/>
    <sheet name="TELEVISORES" sheetId="20" r:id="rId14"/>
    <sheet name="CONTRATOS " sheetId="17" r:id="rId15"/>
    <sheet name="MONITORES SECUNDARIOS" sheetId="19" r:id="rId16"/>
    <sheet name="SENHAS" sheetId="33" r:id="rId17"/>
    <sheet name="MOBILE" sheetId="18" r:id="rId18"/>
    <sheet name="LINHAS INVENTARIO" sheetId="43" r:id="rId19"/>
    <sheet name="CHIPS NOVOS" sheetId="45" r:id="rId20"/>
    <sheet name="PILHAS" sheetId="23" r:id="rId21"/>
    <sheet name="DVR" sheetId="30" r:id="rId22"/>
    <sheet name="NUMEROS MG " sheetId="49" r:id="rId23"/>
    <sheet name="NOTEBOOKS MINAS" sheetId="42" r:id="rId24"/>
    <sheet name="SOFTWARE ENGENHARIA" sheetId="22" r:id="rId25"/>
    <sheet name="Domínios" sheetId="35" r:id="rId26"/>
    <sheet name="Lincenças SAP" sheetId="40" r:id="rId27"/>
    <sheet name="Projeto Go-Live" sheetId="48" r:id="rId28"/>
  </sheets>
  <definedNames>
    <definedName name="_xlnm._FilterDatabase" localSheetId="12" hidden="1">CFTV!$A$2:$K$2</definedName>
    <definedName name="_xlnm._FilterDatabase" localSheetId="8" hidden="1">COMPRAS!$A$3:$E$7</definedName>
    <definedName name="_xlnm._FilterDatabase" localSheetId="11" hidden="1">EQUIPAMENTOS!$A$5:$H$5</definedName>
    <definedName name="_xlnm._FilterDatabase" localSheetId="10" hidden="1">'IMPRESSORAS E TONERS'!$A$2:$K$2</definedName>
    <definedName name="_xlnm._FilterDatabase" localSheetId="17" hidden="1">MOBILE!$A$2:$M$2</definedName>
    <definedName name="_xlnm._FilterDatabase" localSheetId="7" hidden="1">ROTEADORES!$A$2:$K$2</definedName>
    <definedName name="NúmeroCompartimento">#REF!</definedName>
    <definedName name="PesquisarSKU">#REF!</definedName>
    <definedName name="TítuloColuna1">#REF!</definedName>
    <definedName name="TítuloColuna3">#REF!</definedName>
    <definedName name="TítuloDaColuna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52" l="1"/>
  <c r="F30" i="52"/>
  <c r="E30" i="52"/>
  <c r="D30" i="52"/>
  <c r="I33" i="22" a="1"/>
  <c r="I33" i="2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<sst xmlns="http://schemas.openxmlformats.org/spreadsheetml/2006/main" count="5241" uniqueCount="1764">
  <si>
    <t>EQUIPAMENTOS DE TI AVANÇO CONSTRUÇOES</t>
  </si>
  <si>
    <t>TAG</t>
  </si>
  <si>
    <t>COLABORADOR</t>
  </si>
  <si>
    <t>SETOR</t>
  </si>
  <si>
    <t>EQUIPAMENTO</t>
  </si>
  <si>
    <t>MARCA</t>
  </si>
  <si>
    <t>MODELO</t>
  </si>
  <si>
    <t>DESCRIÇAO</t>
  </si>
  <si>
    <t>LOCAL</t>
  </si>
  <si>
    <t>LICENÇA WINDOWS</t>
  </si>
  <si>
    <t>LICENÇA OFFICE</t>
  </si>
  <si>
    <t>Valor</t>
  </si>
  <si>
    <t>NTB-AVAN-001</t>
  </si>
  <si>
    <t>FABRICIO CAMPOS</t>
  </si>
  <si>
    <t>IMA</t>
  </si>
  <si>
    <t>NOTEBOOK</t>
  </si>
  <si>
    <t>LENOVO</t>
  </si>
  <si>
    <t>IDEAPAD SLIM 3</t>
  </si>
  <si>
    <t>I5-8GB-512GB</t>
  </si>
  <si>
    <t>ESCRITORIO AVANÇO</t>
  </si>
  <si>
    <t>WINDOWS 11 PRO</t>
  </si>
  <si>
    <t>365 PREMIUM</t>
  </si>
  <si>
    <t>NTB-AVAN-002</t>
  </si>
  <si>
    <t xml:space="preserve">APRENDIZ </t>
  </si>
  <si>
    <t>RH/PROSAI</t>
  </si>
  <si>
    <t>IDEAPAD 1</t>
  </si>
  <si>
    <t>PROSAI</t>
  </si>
  <si>
    <t>366 PREMIUM</t>
  </si>
  <si>
    <t>NTB-AVAN-003</t>
  </si>
  <si>
    <t>SUELLY DE ANDRADE</t>
  </si>
  <si>
    <t>FINANCEIRO</t>
  </si>
  <si>
    <t>IDEAPAD 3I</t>
  </si>
  <si>
    <t>I5-8GB-240GB</t>
  </si>
  <si>
    <t>NTB-AVAN-004</t>
  </si>
  <si>
    <t>BRUNO LIRA SOUSA</t>
  </si>
  <si>
    <t>PLANEJAMENTO</t>
  </si>
  <si>
    <t>NTB-AVAN-005</t>
  </si>
  <si>
    <t>ADRIANO MAKIBARA</t>
  </si>
  <si>
    <t>NTB-AVAN-006</t>
  </si>
  <si>
    <t>APRENDIZ</t>
  </si>
  <si>
    <t>RECEPCAO</t>
  </si>
  <si>
    <t>ACER</t>
  </si>
  <si>
    <t>A315</t>
  </si>
  <si>
    <t>I5-4GB-240GB</t>
  </si>
  <si>
    <t>NTB-AVAN-007</t>
  </si>
  <si>
    <t>MARCELO SOBREIRA</t>
  </si>
  <si>
    <t>TI</t>
  </si>
  <si>
    <t>LEGION 5</t>
  </si>
  <si>
    <t>AMD-16GB-512GB</t>
  </si>
  <si>
    <t>NTB-AVAN-008</t>
  </si>
  <si>
    <t>THIAGO SILVA</t>
  </si>
  <si>
    <t>SESMT</t>
  </si>
  <si>
    <t>I3-4GB-240GB</t>
  </si>
  <si>
    <t>NTB-AVAN-009</t>
  </si>
  <si>
    <t>THIAGO NASCIMENTO</t>
  </si>
  <si>
    <t>APONTADOR</t>
  </si>
  <si>
    <t>NTB-AVAN-010</t>
  </si>
  <si>
    <t>Rodrigo Souza Rodrigues</t>
  </si>
  <si>
    <t>NTB-AVAN-011</t>
  </si>
  <si>
    <t>IRLANDA TAVARES</t>
  </si>
  <si>
    <t>TEC. AMBIENTAL</t>
  </si>
  <si>
    <t>NTB-AVAN-012</t>
  </si>
  <si>
    <t>VICTOR PALHETA TORRES</t>
  </si>
  <si>
    <t>ALMOXARIFE</t>
  </si>
  <si>
    <t>ASSUS</t>
  </si>
  <si>
    <t>M51580</t>
  </si>
  <si>
    <t>NTB-AVAN-013</t>
  </si>
  <si>
    <t>ALMOXARIFADO</t>
  </si>
  <si>
    <t>NTB-AVAN-014</t>
  </si>
  <si>
    <t xml:space="preserve">YEDDA SOARES </t>
  </si>
  <si>
    <t>NTB-AVAN-015</t>
  </si>
  <si>
    <t>MARCELO BENARROS</t>
  </si>
  <si>
    <t>SANEAMENTO</t>
  </si>
  <si>
    <t>GAMING 3I</t>
  </si>
  <si>
    <t>NTB-AVAN-016</t>
  </si>
  <si>
    <t>CRISTIAN REIS</t>
  </si>
  <si>
    <t>MINAS</t>
  </si>
  <si>
    <t>NTB-AVAN-017</t>
  </si>
  <si>
    <t>MARIA EDUARDA</t>
  </si>
  <si>
    <t>ENGENHARIA</t>
  </si>
  <si>
    <t>LOQ15IRH8</t>
  </si>
  <si>
    <t>I5-16GB-512SSDM2</t>
  </si>
  <si>
    <t>NTB-AVAN-018</t>
  </si>
  <si>
    <t>ALENILSON COSTA</t>
  </si>
  <si>
    <t>FROTA/ALMOX</t>
  </si>
  <si>
    <t>I5-8GB-500SSD</t>
  </si>
  <si>
    <t>NTB-AVAN-019</t>
  </si>
  <si>
    <t>MAURO SILVEIRA</t>
  </si>
  <si>
    <t>DELL</t>
  </si>
  <si>
    <t>INSPIRON</t>
  </si>
  <si>
    <t>NTB-AVAN-020</t>
  </si>
  <si>
    <t>JOAO RODRIGUES</t>
  </si>
  <si>
    <t>ALMOX/FAZENDA</t>
  </si>
  <si>
    <t>ASUS</t>
  </si>
  <si>
    <t>ASPIRE</t>
  </si>
  <si>
    <t>NTB-AVAN-021</t>
  </si>
  <si>
    <t>MATHEUS SANTANA</t>
  </si>
  <si>
    <t>FROTA</t>
  </si>
  <si>
    <t>NTB-AVAN-022</t>
  </si>
  <si>
    <t>PAULO VITOR</t>
  </si>
  <si>
    <t>ACESSOR</t>
  </si>
  <si>
    <t>RYZEN-8G-256SSD</t>
  </si>
  <si>
    <t>NTB-AVAN-023</t>
  </si>
  <si>
    <t>SARAH PRISCILLA</t>
  </si>
  <si>
    <t>I7-16GB-450GB</t>
  </si>
  <si>
    <t>NTB-AVAN-024</t>
  </si>
  <si>
    <t>EDUADOR NORONHA</t>
  </si>
  <si>
    <t>coordenador de tesouraria</t>
  </si>
  <si>
    <t>NTB-AVAN-025</t>
  </si>
  <si>
    <t>ALDANEY SILVA</t>
  </si>
  <si>
    <t>DP</t>
  </si>
  <si>
    <t>NTB-AVAN-026</t>
  </si>
  <si>
    <t>IAGO TEIXEIRA</t>
  </si>
  <si>
    <t>NTB-AVAN-027</t>
  </si>
  <si>
    <t>JOSE ABRAAO</t>
  </si>
  <si>
    <t>T.I</t>
  </si>
  <si>
    <t>I7-16GB-512GB</t>
  </si>
  <si>
    <t>NTB-AVAN-028</t>
  </si>
  <si>
    <t>KATIA GUIMARAES</t>
  </si>
  <si>
    <t>NTB-AVAN-029</t>
  </si>
  <si>
    <t>BALANÇA USINA</t>
  </si>
  <si>
    <t>NTB-AVAN-030</t>
  </si>
  <si>
    <t>EVANILDO FAGUNDES</t>
  </si>
  <si>
    <t xml:space="preserve">DELL </t>
  </si>
  <si>
    <t>NTB-AVAN-031</t>
  </si>
  <si>
    <t>RICKELMEN FARIAS</t>
  </si>
  <si>
    <t>RYZEN 5 256GB</t>
  </si>
  <si>
    <t>NTB-AVAN-032</t>
  </si>
  <si>
    <t>KELLY QUEIROZ</t>
  </si>
  <si>
    <t>TEC. SEGURANÇA</t>
  </si>
  <si>
    <t>NTB-AVAN-033</t>
  </si>
  <si>
    <t>DEBORAH MONTEIRO</t>
  </si>
  <si>
    <t>I5-16GB-512GB</t>
  </si>
  <si>
    <t>NTB-AVAN-034</t>
  </si>
  <si>
    <t>DEISE GARCIA</t>
  </si>
  <si>
    <t>NTB-AVAN-035</t>
  </si>
  <si>
    <t>ARTHUR SANTOS</t>
  </si>
  <si>
    <t>COMPRAS</t>
  </si>
  <si>
    <t>2.416.67</t>
  </si>
  <si>
    <t>NTB-AVAN-036</t>
  </si>
  <si>
    <t>LARA OLIVEIRA</t>
  </si>
  <si>
    <t>NTB-AVAN-037</t>
  </si>
  <si>
    <t>USINA</t>
  </si>
  <si>
    <t>NTB-AVAN-038</t>
  </si>
  <si>
    <t>JAMES MAIA</t>
  </si>
  <si>
    <t>RH</t>
  </si>
  <si>
    <t>NTB-AVAN-039</t>
  </si>
  <si>
    <t>NAYANEBE BOTELHO</t>
  </si>
  <si>
    <t>SECRETARIA-DIRETORIA</t>
  </si>
  <si>
    <t>I5-16GB-512</t>
  </si>
  <si>
    <t>NTB-AVAN-040</t>
  </si>
  <si>
    <t>EWERTON MARTINS</t>
  </si>
  <si>
    <t>NTB-AVAN-041</t>
  </si>
  <si>
    <t>EDER OLIVEIRA</t>
  </si>
  <si>
    <t>NTB-AVAN-042</t>
  </si>
  <si>
    <t>ANDERSON PATRICK</t>
  </si>
  <si>
    <t>AUDITORIA</t>
  </si>
  <si>
    <t>NTB-AVAN-043</t>
  </si>
  <si>
    <t>Gislane Pauxis </t>
  </si>
  <si>
    <t>Assistente Social</t>
  </si>
  <si>
    <t>NTB-AVAN-044</t>
  </si>
  <si>
    <t>CAIO SANTOS</t>
  </si>
  <si>
    <t>Tec. Ambiental</t>
  </si>
  <si>
    <t>IDEAPAD 2</t>
  </si>
  <si>
    <t>367 PREMIUM</t>
  </si>
  <si>
    <t>NTB-AVAN-045</t>
  </si>
  <si>
    <t>CARLOS EDUARDO</t>
  </si>
  <si>
    <t>ANALISTA DE DADOS</t>
  </si>
  <si>
    <t>NTB-AVAN-046</t>
  </si>
  <si>
    <t>NTB-AVAN-047</t>
  </si>
  <si>
    <t>YOURI BONFIM</t>
  </si>
  <si>
    <t>ALMOX</t>
  </si>
  <si>
    <t>NTB-AVAN-048</t>
  </si>
  <si>
    <t>LEANDRA LIBORIO</t>
  </si>
  <si>
    <t>NTB-AVAN-049</t>
  </si>
  <si>
    <t>BERNARD DIAS</t>
  </si>
  <si>
    <t>ALMOXARIFE/ESTALEIRO</t>
  </si>
  <si>
    <t>NTB-AVAN-050</t>
  </si>
  <si>
    <t>ONIAS SANTOS</t>
  </si>
  <si>
    <t>NTB-AVAN-051</t>
  </si>
  <si>
    <t>ANA BEATRIZ</t>
  </si>
  <si>
    <t>MARKETING</t>
  </si>
  <si>
    <t>NTB-AVAN-052</t>
  </si>
  <si>
    <t>LAÍS MARILYN</t>
  </si>
  <si>
    <t>CONTRATOS</t>
  </si>
  <si>
    <t>LATITUDE 3540</t>
  </si>
  <si>
    <t>NTB-AVAN-053</t>
  </si>
  <si>
    <t xml:space="preserve">LUCAS FERNANDES </t>
  </si>
  <si>
    <t>GEOLOGIA</t>
  </si>
  <si>
    <t>NTB-AVAN-054</t>
  </si>
  <si>
    <t>GABRIEL MONTEIRO</t>
  </si>
  <si>
    <t>TOPOGRAFO</t>
  </si>
  <si>
    <t>NTB-AVAN-055</t>
  </si>
  <si>
    <t>ALEXANDRE SILVA</t>
  </si>
  <si>
    <t>NTB-AVAN-056</t>
  </si>
  <si>
    <t>ALEX BRUNO</t>
  </si>
  <si>
    <t>NTB-AVAN-057</t>
  </si>
  <si>
    <t>CARLOS AUGUSTO</t>
  </si>
  <si>
    <t>NTB-AVAN-058</t>
  </si>
  <si>
    <t>FELICIANO URBANO</t>
  </si>
  <si>
    <t>I7-12GB-500SSD</t>
  </si>
  <si>
    <t>AUTAZES</t>
  </si>
  <si>
    <t>NTB-AVAN-059</t>
  </si>
  <si>
    <t>LUANE ANDRADE</t>
  </si>
  <si>
    <t>NTB-AVAN-060</t>
  </si>
  <si>
    <t>JOVANE RIBEIRO</t>
  </si>
  <si>
    <t>NTB-AVAN-061</t>
  </si>
  <si>
    <t>BRENO BATISTA</t>
  </si>
  <si>
    <t>NTB-AVAN-062</t>
  </si>
  <si>
    <t>SANDRO CAIQUE</t>
  </si>
  <si>
    <t>NITRO V15</t>
  </si>
  <si>
    <t>NTB-AVAN-063</t>
  </si>
  <si>
    <t>ELAINE FIGUEIREDO</t>
  </si>
  <si>
    <t>AVELL</t>
  </si>
  <si>
    <t>ION</t>
  </si>
  <si>
    <t>I7-32GB-500SSD</t>
  </si>
  <si>
    <t>NTB-AVAN-064</t>
  </si>
  <si>
    <t>IDÊ PIMENTEL</t>
  </si>
  <si>
    <t>NTB-AVAN-065</t>
  </si>
  <si>
    <t>ROBSON</t>
  </si>
  <si>
    <t>G1750 MUV</t>
  </si>
  <si>
    <t>NTB-AVAN-066</t>
  </si>
  <si>
    <t>HECTOR REIS ALMEIDA</t>
  </si>
  <si>
    <t>ENG. NAVAL</t>
  </si>
  <si>
    <t>NTB-AVAN-067</t>
  </si>
  <si>
    <t xml:space="preserve">PERY ALBERTO </t>
  </si>
  <si>
    <t>SAMSUNGBOOK</t>
  </si>
  <si>
    <t>NP750XG</t>
  </si>
  <si>
    <t>I5-16GB-500SSD</t>
  </si>
  <si>
    <t>NTB-AVAN-068</t>
  </si>
  <si>
    <t>JULIANE NOGUEIRA</t>
  </si>
  <si>
    <t>363 PREMIUM</t>
  </si>
  <si>
    <t>NTB-AVAN-069</t>
  </si>
  <si>
    <t xml:space="preserve">ANGELICA SILVA </t>
  </si>
  <si>
    <t>364 PREMIUM</t>
  </si>
  <si>
    <t>NTB-AVAN-070</t>
  </si>
  <si>
    <t>VANESSA SOUZA</t>
  </si>
  <si>
    <t>NTB-AVAN-071</t>
  </si>
  <si>
    <t>KEMISLANI LIMA</t>
  </si>
  <si>
    <t>NTB-AVAN-072</t>
  </si>
  <si>
    <t>NUBIA  CARDOSO</t>
  </si>
  <si>
    <t>SGI</t>
  </si>
  <si>
    <t>NTB-AVAN-073</t>
  </si>
  <si>
    <t>ESTALEIRO</t>
  </si>
  <si>
    <t>NTB-AVAN-074</t>
  </si>
  <si>
    <t>ALEXANDRE MARQUES</t>
  </si>
  <si>
    <t>NTB-AVAN-075</t>
  </si>
  <si>
    <t>GLEICIANE SILVA</t>
  </si>
  <si>
    <t>NTB-AVAN-076</t>
  </si>
  <si>
    <t>NTB-AVAN-077</t>
  </si>
  <si>
    <t>RAQUEL ANDRADE</t>
  </si>
  <si>
    <t>I7-12GB-512GB</t>
  </si>
  <si>
    <t>368 PREMIUM</t>
  </si>
  <si>
    <t>NTB-AVAN-078</t>
  </si>
  <si>
    <t>KARLA XAVIER</t>
  </si>
  <si>
    <t>SEG.TRAB. - SGI</t>
  </si>
  <si>
    <t>NTB-AVAN-079</t>
  </si>
  <si>
    <t>ARTHUR MOREIRA</t>
  </si>
  <si>
    <t>Eletrotecnico</t>
  </si>
  <si>
    <t>NTB-AVAN-080</t>
  </si>
  <si>
    <t>ERICK OLIVEIRA</t>
  </si>
  <si>
    <t>NTB-AVAN-081</t>
  </si>
  <si>
    <t xml:space="preserve">LUiS PAIVA </t>
  </si>
  <si>
    <t>AURORA</t>
  </si>
  <si>
    <t>NTB-AVAN-082</t>
  </si>
  <si>
    <t>RENATO CESAR</t>
  </si>
  <si>
    <t>CONTROLADORIA</t>
  </si>
  <si>
    <t>NTB-AVAN-083</t>
  </si>
  <si>
    <t>ERIC RODRIGUES</t>
  </si>
  <si>
    <t>LOQ15IRH9</t>
  </si>
  <si>
    <t>NTB-AVAN-084</t>
  </si>
  <si>
    <t>CHRISTIAN HUDSON</t>
  </si>
  <si>
    <t>NTB-AVAN-085</t>
  </si>
  <si>
    <t>BRUNO LIRA</t>
  </si>
  <si>
    <t xml:space="preserve">IMA </t>
  </si>
  <si>
    <t>NTB-AVAN-086</t>
  </si>
  <si>
    <t>PAULO NASCIMENTO</t>
  </si>
  <si>
    <t>NTB-AVAN-087</t>
  </si>
  <si>
    <t xml:space="preserve">KENNEDY MONTEIRO </t>
  </si>
  <si>
    <t>NTB-AVAN-088</t>
  </si>
  <si>
    <t>ALESSANDRA RODRIGUES</t>
  </si>
  <si>
    <t>IDEAPAD SLIM3</t>
  </si>
  <si>
    <t>NTB-AVAN-089</t>
  </si>
  <si>
    <t xml:space="preserve">AMANDA FREIRE  </t>
  </si>
  <si>
    <t>NTB-AVAN-090</t>
  </si>
  <si>
    <t>NÚBIA LOPES</t>
  </si>
  <si>
    <t>NTB-AVAN-091</t>
  </si>
  <si>
    <t>ROBENILDO OLIVEIRA</t>
  </si>
  <si>
    <t>NTB-AVAN-092</t>
  </si>
  <si>
    <t>FABIOLA MAFRA</t>
  </si>
  <si>
    <t>ASS.SOCIAL</t>
  </si>
  <si>
    <t>NTB-AVAN-093</t>
  </si>
  <si>
    <t>LUAN MARTINS</t>
  </si>
  <si>
    <t>ASS.ADMINISTRATIVO</t>
  </si>
  <si>
    <t>NTB-AVAN-094</t>
  </si>
  <si>
    <t>ALEX NASCIMENTO</t>
  </si>
  <si>
    <t>ENG</t>
  </si>
  <si>
    <t>NTB-AVAN-095</t>
  </si>
  <si>
    <t>VANESSA RAMOS</t>
  </si>
  <si>
    <t>TECNICA SGI</t>
  </si>
  <si>
    <t>NTB-AVAN-096</t>
  </si>
  <si>
    <t>CLOVIS LEAL</t>
  </si>
  <si>
    <t>OBS: SEM BATERIA</t>
  </si>
  <si>
    <t>NTB-AVAN-097</t>
  </si>
  <si>
    <t>NTB-AVAN-098</t>
  </si>
  <si>
    <t>Cassio Bertucelli</t>
  </si>
  <si>
    <t>NTB-AVAN-099</t>
  </si>
  <si>
    <t>RAIMUNDO SALDANHA</t>
  </si>
  <si>
    <t>NTB-AVAN-100</t>
  </si>
  <si>
    <t>JURANDYR ARAUJO</t>
  </si>
  <si>
    <t>NTB-AVAN-101</t>
  </si>
  <si>
    <t>CAMILA SILVA</t>
  </si>
  <si>
    <t>NTB-AVAN-102</t>
  </si>
  <si>
    <t>DANIELE ROCHA</t>
  </si>
  <si>
    <t>NTB-AVAN-103</t>
  </si>
  <si>
    <t xml:space="preserve">INES SOUZA </t>
  </si>
  <si>
    <t>NTB-AVAN-104</t>
  </si>
  <si>
    <t>ELIZANGELA CASTRO</t>
  </si>
  <si>
    <t>FISCAL</t>
  </si>
  <si>
    <t>NTB-AVAN-105</t>
  </si>
  <si>
    <t>DAVI SOTERO</t>
  </si>
  <si>
    <t>TEC. SEG.TRABALHO</t>
  </si>
  <si>
    <t>NTB-AVAN-106</t>
  </si>
  <si>
    <t>LUIS FERREIRA</t>
  </si>
  <si>
    <t>NTB-AVAN-107</t>
  </si>
  <si>
    <t>JULIANE SARMENTO</t>
  </si>
  <si>
    <t>NTB-AVAN-108</t>
  </si>
  <si>
    <t>NTB-AVAN-109</t>
  </si>
  <si>
    <t>LUCAS LIMA</t>
  </si>
  <si>
    <t>NTB-AVAN-110</t>
  </si>
  <si>
    <t>CARLOS ROBERTO</t>
  </si>
  <si>
    <t>NTB-AVAN-111</t>
  </si>
  <si>
    <t>BEATRIZ CARVALHO</t>
  </si>
  <si>
    <t>LUIZ CONDE</t>
  </si>
  <si>
    <t>DIRETOR</t>
  </si>
  <si>
    <t>PROJECONT01</t>
  </si>
  <si>
    <t>CONSULTOR EXTERNO</t>
  </si>
  <si>
    <t>Adão Silveiro de Andrade</t>
  </si>
  <si>
    <t>Minas Led</t>
  </si>
  <si>
    <t>Adriano Gomes Alves</t>
  </si>
  <si>
    <t>Daniel Vitor Ferreira  Barros</t>
  </si>
  <si>
    <t>Eduardo Henrique de Souza  Cézar</t>
  </si>
  <si>
    <t>Jhenneffer Carollinne da  Silva</t>
  </si>
  <si>
    <t>NTB-AVAN-MG-011</t>
  </si>
  <si>
    <t>Lorena Malverdi Lima Pizeta</t>
  </si>
  <si>
    <t>TEC023003</t>
  </si>
  <si>
    <t>Nayane Junia de Oliveira  Robadel</t>
  </si>
  <si>
    <t>Pâmela Carina da  Silva</t>
  </si>
  <si>
    <t>Reinaldo Gonçalves de  Paula</t>
  </si>
  <si>
    <t>NTB-AVAN-MG-002</t>
  </si>
  <si>
    <t>Sérgio de Souza  Costa</t>
  </si>
  <si>
    <t>NTB-AVAN-MG-003</t>
  </si>
  <si>
    <t>Simone Alves de Souza</t>
  </si>
  <si>
    <t>NTB-AVAN-MG-001</t>
  </si>
  <si>
    <t>Vanderley Pereira dos  Santos</t>
  </si>
  <si>
    <t>NTB-AVAN-MG-013</t>
  </si>
  <si>
    <t>Victor Figueiredo Soares  André</t>
  </si>
  <si>
    <t>SEM USO</t>
  </si>
  <si>
    <t>Antonio Eliziario Marques  Neto</t>
  </si>
  <si>
    <t>STANDARD</t>
  </si>
  <si>
    <t>Avenil Rosa  Moreira</t>
  </si>
  <si>
    <t>Caio Vinicius  Sabino</t>
  </si>
  <si>
    <t>Cristian Rodrigues  Reis</t>
  </si>
  <si>
    <t>Felipe Rodrigues de  Faria</t>
  </si>
  <si>
    <t>TEC023148</t>
  </si>
  <si>
    <t>Fernanda  Lopes de Sá</t>
  </si>
  <si>
    <t>RH BH</t>
  </si>
  <si>
    <t>TEC022838</t>
  </si>
  <si>
    <t>Francielle Mucida Bratiliere Jales</t>
  </si>
  <si>
    <t>Frank Wesley Pinto Moreira</t>
  </si>
  <si>
    <t>Iander do Carmo Ribeiro</t>
  </si>
  <si>
    <t>TEC027236</t>
  </si>
  <si>
    <t>Igor Gonçalves  Pinheiro</t>
  </si>
  <si>
    <t>Israel Oliveira da  Costa</t>
  </si>
  <si>
    <t>TEC018260</t>
  </si>
  <si>
    <t>Leandro Henrique Milagre de Moura</t>
  </si>
  <si>
    <t>Leandro Rocha Silva</t>
  </si>
  <si>
    <t>TEC019234</t>
  </si>
  <si>
    <t>Leticia Alcantara Pereira</t>
  </si>
  <si>
    <t>ENGENHARIA BH</t>
  </si>
  <si>
    <t>Marcelo Martins  Tucunduva</t>
  </si>
  <si>
    <t>TEC027234</t>
  </si>
  <si>
    <t>Marilia Pieruccetti</t>
  </si>
  <si>
    <t>Mauricio Vidal Gomes</t>
  </si>
  <si>
    <t>Raissa Dominique Nonato  Trindade Medeiros de Souza</t>
  </si>
  <si>
    <t>TSTBH</t>
  </si>
  <si>
    <t>Valney Santana da Silva  Junior</t>
  </si>
  <si>
    <t>Vistoriador Cemig</t>
  </si>
  <si>
    <t xml:space="preserve">ESTOQUE </t>
  </si>
  <si>
    <t>KIT 3 TECLADO COM MOUSE</t>
  </si>
  <si>
    <t>3 TECLADOS</t>
  </si>
  <si>
    <t>3 MOUSE</t>
  </si>
  <si>
    <t>QUANTIDADE</t>
  </si>
  <si>
    <t>LOCALIDADE</t>
  </si>
  <si>
    <t xml:space="preserve">FAZENDA </t>
  </si>
  <si>
    <t>1 CASA DO CUIDADOR DE CAVALOS</t>
  </si>
  <si>
    <t>CASA PROFESSOR</t>
  </si>
  <si>
    <t xml:space="preserve">CASA </t>
  </si>
  <si>
    <t>BALSA BAJARA</t>
  </si>
  <si>
    <t>BALSA</t>
  </si>
  <si>
    <t>INVENTÁRIO COMPUTADORES - COMPRAS MINAS GERAIS</t>
  </si>
  <si>
    <t>NOME</t>
  </si>
  <si>
    <t>FUNÇÃO</t>
  </si>
  <si>
    <t>MINAS LED</t>
  </si>
  <si>
    <t>PF IT</t>
  </si>
  <si>
    <t>PF IP</t>
  </si>
  <si>
    <t>PF CR</t>
  </si>
  <si>
    <t>Leandro Rocha</t>
  </si>
  <si>
    <t>Gerente</t>
  </si>
  <si>
    <t>Letícia Alcântara</t>
  </si>
  <si>
    <t>Orçamentista</t>
  </si>
  <si>
    <t>Iander Ribeiro</t>
  </si>
  <si>
    <t>Supervisor</t>
  </si>
  <si>
    <t>Antonio Marques</t>
  </si>
  <si>
    <t>Analista de Câmeras</t>
  </si>
  <si>
    <t>Auxiliar Adm</t>
  </si>
  <si>
    <t>Supervisor de Frota</t>
  </si>
  <si>
    <t>Assistente de Frota</t>
  </si>
  <si>
    <t>Auxiliar de RH</t>
  </si>
  <si>
    <t>Almoxarife</t>
  </si>
  <si>
    <t>Supervisor RDA</t>
  </si>
  <si>
    <t>Téc. Segurança</t>
  </si>
  <si>
    <t>Marcelo</t>
  </si>
  <si>
    <t>Gerente de Contrato</t>
  </si>
  <si>
    <t>Cristian</t>
  </si>
  <si>
    <t>Coordenador</t>
  </si>
  <si>
    <t>Francielle</t>
  </si>
  <si>
    <t>TST</t>
  </si>
  <si>
    <t>Fernada</t>
  </si>
  <si>
    <t>Raissa</t>
  </si>
  <si>
    <t>Analista RH</t>
  </si>
  <si>
    <t>Frank Wesley</t>
  </si>
  <si>
    <t>Analista de Eng.</t>
  </si>
  <si>
    <t>Bruno</t>
  </si>
  <si>
    <t>Eng. Eletricista</t>
  </si>
  <si>
    <t>Mauricio</t>
  </si>
  <si>
    <t>Leandro</t>
  </si>
  <si>
    <t>Analista Logística</t>
  </si>
  <si>
    <t>Felipe</t>
  </si>
  <si>
    <t>Almoxarifes</t>
  </si>
  <si>
    <t>Avenil</t>
  </si>
  <si>
    <t>Rafael</t>
  </si>
  <si>
    <t>Encarregado</t>
  </si>
  <si>
    <t>Valney</t>
  </si>
  <si>
    <t>Marília</t>
  </si>
  <si>
    <t>Supervisor RH</t>
  </si>
  <si>
    <t>José Perin</t>
  </si>
  <si>
    <t>Quantidade Total</t>
  </si>
  <si>
    <t>OBS</t>
  </si>
  <si>
    <t>NTB-INST-001</t>
  </si>
  <si>
    <t>Sheila de Aguiar Ferreira</t>
  </si>
  <si>
    <t>INSTITUTO</t>
  </si>
  <si>
    <t xml:space="preserve">NOTEBOOK </t>
  </si>
  <si>
    <t>i5 256GB</t>
  </si>
  <si>
    <t>11 PRO</t>
  </si>
  <si>
    <t>NTB-INST-002</t>
  </si>
  <si>
    <t>Maria joice</t>
  </si>
  <si>
    <t>TRX-AVAN-001</t>
  </si>
  <si>
    <r>
      <rPr>
        <sz val="11"/>
        <color rgb="FFFF0000"/>
        <rFont val="Franklin Gothic Medium"/>
        <family val="2"/>
        <scheme val="minor"/>
      </rPr>
      <t>IP</t>
    </r>
    <r>
      <rPr>
        <sz val="11"/>
        <color theme="3" tint="0.14993743705557422"/>
        <rFont val="Franklin Gothic Medium"/>
        <family val="2"/>
        <scheme val="minor"/>
      </rPr>
      <t>:192.168.001.108</t>
    </r>
  </si>
  <si>
    <t>usuario: admin</t>
  </si>
  <si>
    <t>senha: admin</t>
  </si>
  <si>
    <t>TRX-AVAN-002</t>
  </si>
  <si>
    <t>IP:192.168.18.8</t>
  </si>
  <si>
    <t>AVANCO</t>
  </si>
  <si>
    <t>TRX-AVAN-004</t>
  </si>
  <si>
    <t>IP:10.1.2.100</t>
  </si>
  <si>
    <t>MOUSES AVANÇO CONSTRUÇOES</t>
  </si>
  <si>
    <t xml:space="preserve">EM ESTOQUE </t>
  </si>
  <si>
    <t>RENATO HUDSON</t>
  </si>
  <si>
    <t>LETRON</t>
  </si>
  <si>
    <t>ESTHER PATRICIA</t>
  </si>
  <si>
    <t>FABRICIA</t>
  </si>
  <si>
    <t>LOGITECH</t>
  </si>
  <si>
    <t>FABRICIO</t>
  </si>
  <si>
    <t>NISANGELA SOUZA</t>
  </si>
  <si>
    <t>JULIANE</t>
  </si>
  <si>
    <t>FRANTECH</t>
  </si>
  <si>
    <t>M170</t>
  </si>
  <si>
    <t>RENATO CESAR ALMEIDA</t>
  </si>
  <si>
    <t>M171</t>
  </si>
  <si>
    <t>LARA GONÇALVES</t>
  </si>
  <si>
    <t>MONOCRON</t>
  </si>
  <si>
    <t>WALCILENE CRUZ</t>
  </si>
  <si>
    <t>MAX</t>
  </si>
  <si>
    <t>MULTILASER</t>
  </si>
  <si>
    <t>LOGI</t>
  </si>
  <si>
    <t>SARAH PRISCILLA  HENRIQUES DE ARAÚJO</t>
  </si>
  <si>
    <t xml:space="preserve">ANA BEATRIZ </t>
  </si>
  <si>
    <t>ASSESSORA DE IMPRENSA</t>
  </si>
  <si>
    <t>THAYS BASTOS</t>
  </si>
  <si>
    <t>LICITAÇÃO / CONTRATOS</t>
  </si>
  <si>
    <t>NATANAEL</t>
  </si>
  <si>
    <t>EXBOM</t>
  </si>
  <si>
    <t>FIANCEIRO</t>
  </si>
  <si>
    <t>ANGELICA COSTA</t>
  </si>
  <si>
    <t>INGRID LIMA</t>
  </si>
  <si>
    <t>SESMIT</t>
  </si>
  <si>
    <t>ROBSON MARTINS</t>
  </si>
  <si>
    <t>TECLADO + MOUSE</t>
  </si>
  <si>
    <t xml:space="preserve">LUCAS LIMA </t>
  </si>
  <si>
    <t>ROTEADORES E CONEXÕES AVANÇO CONSTRUÇOES</t>
  </si>
  <si>
    <t xml:space="preserve">LOCAL </t>
  </si>
  <si>
    <t>FABRICANTE</t>
  </si>
  <si>
    <t>IP</t>
  </si>
  <si>
    <t>OBSERVAÇÕES</t>
  </si>
  <si>
    <t>CONEXÃO</t>
  </si>
  <si>
    <t>UNIFI</t>
  </si>
  <si>
    <t>UDM SE</t>
  </si>
  <si>
    <t>10.1.1.1</t>
  </si>
  <si>
    <t>Controladora Unifi que administra todos os roteadores e mesh da avanço</t>
  </si>
  <si>
    <t xml:space="preserve">CABEADA </t>
  </si>
  <si>
    <t>USW Lite 8 PoE</t>
  </si>
  <si>
    <t>10.1.0.144</t>
  </si>
  <si>
    <t>Switch unifi onde estão conectados as câmeras cftv da avanço</t>
  </si>
  <si>
    <t>CORREDOR ADM</t>
  </si>
  <si>
    <t>U6 LR</t>
  </si>
  <si>
    <t>10.1.0.129</t>
  </si>
  <si>
    <t xml:space="preserve">Roteador U6PRO que cobre o setor de engenharia e financeiro </t>
  </si>
  <si>
    <t>CONTROLARIA</t>
  </si>
  <si>
    <t>UAP-AC-LR</t>
  </si>
  <si>
    <t>10.1.0.117</t>
  </si>
  <si>
    <t xml:space="preserve">Roteador localizado na controladoria ,  onde cobre RH , recepção e pátio </t>
  </si>
  <si>
    <t>UAP-AC-M</t>
  </si>
  <si>
    <t>10.1.0.128</t>
  </si>
  <si>
    <t>Roteador localizado no setor de almoxarifado, cobre setor de almox todo.</t>
  </si>
  <si>
    <t xml:space="preserve">COMPRAS COTAÇOES  -PERIFERICOS </t>
  </si>
  <si>
    <t xml:space="preserve">EQUIPAMENTOS </t>
  </si>
  <si>
    <t>QTD</t>
  </si>
  <si>
    <t>PROCESSO</t>
  </si>
  <si>
    <t>STATUS</t>
  </si>
  <si>
    <t xml:space="preserve">OBSERVAÇAO </t>
  </si>
  <si>
    <t xml:space="preserve">LICENÇAS /WINDOWS </t>
  </si>
  <si>
    <t>X</t>
  </si>
  <si>
    <t xml:space="preserve">A DEFINIR </t>
  </si>
  <si>
    <t>CORPORATIVO AVANÇO</t>
  </si>
  <si>
    <t>PENDENTE</t>
  </si>
  <si>
    <t>KIT MOUSES /TECLADO</t>
  </si>
  <si>
    <t xml:space="preserve">FONE DE OUVIDO </t>
  </si>
  <si>
    <t>MOTO G35</t>
  </si>
  <si>
    <t>EM COTAÇÃO</t>
  </si>
  <si>
    <t>STARLINK</t>
  </si>
  <si>
    <t xml:space="preserve">COMPUTADORES MINAS GERAIS </t>
  </si>
  <si>
    <t xml:space="preserve">CORPORATIVO MINAS GERAIS </t>
  </si>
  <si>
    <t>CELULARES X LINHA VIVO</t>
  </si>
  <si>
    <t>NOTEBOOKS APRENDIZ</t>
  </si>
  <si>
    <t>NOTEBOOK ENG.</t>
  </si>
  <si>
    <t xml:space="preserve">MONITORES </t>
  </si>
  <si>
    <t xml:space="preserve">SUPORTES </t>
  </si>
  <si>
    <t xml:space="preserve">COMPRAS -TONNERS </t>
  </si>
  <si>
    <t xml:space="preserve">VALOR </t>
  </si>
  <si>
    <t xml:space="preserve">CILINDRO -TN - B021- </t>
  </si>
  <si>
    <t>OK</t>
  </si>
  <si>
    <t>tonner tn-b021</t>
  </si>
  <si>
    <t>Toner Brother Tn-416/426/436/446 YELLOW</t>
  </si>
  <si>
    <t>Toner Brother Tn-416/426/436/446 MAGENTA</t>
  </si>
  <si>
    <t>Toner Brother Tn-416/426/436/446 BLACK</t>
  </si>
  <si>
    <t>Toner Brother Tn-2370/2340(CILINDRO)</t>
  </si>
  <si>
    <t xml:space="preserve">Toner Brother Tn-2370/2340(TONNER	</t>
  </si>
  <si>
    <t xml:space="preserve">GALPÃO </t>
  </si>
  <si>
    <t>ITABIRA- AV MACHADO DE ASSIS 550, JOÃO XXIII</t>
  </si>
  <si>
    <t>CARATINGA - AV. PRESI. TANCREDO NEVES N° 1340 LOJAS 01/ ANEXO AO POSTO MINEIRÃO - BAIRRO ESPLANDA</t>
  </si>
  <si>
    <t>SEDE AVANÇO</t>
  </si>
  <si>
    <t>BELO HORIZONTE - MINAS GERAIS, RUA MANOEL ELIAS DE AGUIAR, N° 255 BAIRRO OURO PRETO, CEP 31330-520</t>
  </si>
  <si>
    <t>IPATINGA  RUA CARLOS DRUMOND DE ANDRADE 24 E 34 - B.CIDADE NOVA - SANTANA DO PARAISO/ CEP 38402-757</t>
  </si>
  <si>
    <t>IMPRESSORAS                                    AVANÇO CONSTRUÇOES</t>
  </si>
  <si>
    <t>TONER</t>
  </si>
  <si>
    <t>IP/CONEXÃO</t>
  </si>
  <si>
    <t>DISPONIVEL</t>
  </si>
  <si>
    <t>HP</t>
  </si>
  <si>
    <t>HP LASERJET M1212</t>
  </si>
  <si>
    <t>TONER HP CE285A</t>
  </si>
  <si>
    <t>10.1.6.25</t>
  </si>
  <si>
    <t>BROTHER</t>
  </si>
  <si>
    <t>BROTHER DCP-L5502DN</t>
  </si>
  <si>
    <t>Toner Brother Tn-3472</t>
  </si>
  <si>
    <t>10.1.5.83</t>
  </si>
  <si>
    <t>BROTHER DCP-L8360CDW</t>
  </si>
  <si>
    <t>Toner Brother Tn-416/426/436/446</t>
  </si>
  <si>
    <t>10.1.5.136</t>
  </si>
  <si>
    <t>BROTHER DCP-B7535DW</t>
  </si>
  <si>
    <t>Toner Brother Tn-B021</t>
  </si>
  <si>
    <t>10.1.5.219</t>
  </si>
  <si>
    <t>BROTHER DCP-L2540DW</t>
  </si>
  <si>
    <t>Toner Brother Tn-2370</t>
  </si>
  <si>
    <t>10.1.4.20</t>
  </si>
  <si>
    <t>BROTHER DCP-L5602DN</t>
  </si>
  <si>
    <t>10.1.3.28</t>
  </si>
  <si>
    <t>10.1.4.30</t>
  </si>
  <si>
    <t>10.1.2.219</t>
  </si>
  <si>
    <t>CANTEIRO USINA</t>
  </si>
  <si>
    <t>HP NEVERSTOP LASER MFP 1200w</t>
  </si>
  <si>
    <t>TONER HP 103A</t>
  </si>
  <si>
    <t xml:space="preserve"> WIFI DIRECT </t>
  </si>
  <si>
    <t>CANON</t>
  </si>
  <si>
    <t>LBP6030W</t>
  </si>
  <si>
    <t>TONER MULTILASER CT 0301</t>
  </si>
  <si>
    <t xml:space="preserve"> </t>
  </si>
  <si>
    <t>ESTOQUE T.I</t>
  </si>
  <si>
    <t>HP DESKJET INK ADVANTAGE 2675</t>
  </si>
  <si>
    <t>CARTUCHO HP 664XL/ HP664</t>
  </si>
  <si>
    <t>USB</t>
  </si>
  <si>
    <t>BROTHER MFCJ6955DW</t>
  </si>
  <si>
    <t>CARTUCHO LC406</t>
  </si>
  <si>
    <t>WIFI</t>
  </si>
  <si>
    <t>EPSON</t>
  </si>
  <si>
    <t>EPSON - ECOTANK L5590</t>
  </si>
  <si>
    <t>Toner Epson - 544</t>
  </si>
  <si>
    <t>PROJETOS</t>
  </si>
  <si>
    <t>EPSON - ECOTANK L14150</t>
  </si>
  <si>
    <t>ESTOQUE DE TONERS AVANÇO CONSTRUÇOES</t>
  </si>
  <si>
    <t>Modelo</t>
  </si>
  <si>
    <t>QT DISPONÍVEL</t>
  </si>
  <si>
    <t xml:space="preserve">Valor Unitário </t>
  </si>
  <si>
    <t>ok</t>
  </si>
  <si>
    <t>Toner Brother Tn-416/426/436/446 CYAN</t>
  </si>
  <si>
    <t>Toner Brother Tn-2370/2340</t>
  </si>
  <si>
    <t>CARTUCHO HP 664 PRETO</t>
  </si>
  <si>
    <t>CARTUCHO HP 664 COLOR</t>
  </si>
  <si>
    <t>FITA TZE-231 X-FUL ETIQUETADORA BROTHER</t>
  </si>
  <si>
    <t>BTOTHER CARTUCHO LC406/BLACK</t>
  </si>
  <si>
    <t>BTOTHER CARTUCHO LC406/YELLOW</t>
  </si>
  <si>
    <t>BTOTHER CARTUCHO LC406/MAGENTA</t>
  </si>
  <si>
    <t>BTOTHER CARTUCHO LC406/CYAN</t>
  </si>
  <si>
    <t>EPSON - ECOTANK L5590 - Toner 544/ BLACK</t>
  </si>
  <si>
    <t>EPSON - ECOTANK L5590 - Toner 544/ YELLOW</t>
  </si>
  <si>
    <t>EPSON - ECOTANK L5590 - Toner 544/ MAGENTA</t>
  </si>
  <si>
    <t>EPSON - ECOTANK L5590 - Toner 544/ CYAN</t>
  </si>
  <si>
    <t>CILINDRO</t>
  </si>
  <si>
    <t>TN3442/3472 DR</t>
  </si>
  <si>
    <t>TN - B021</t>
  </si>
  <si>
    <t>PERIFERICOS EM USO -AVANCO CONSTRUCOES</t>
  </si>
  <si>
    <t>EQUIPAMENTOS EM USO - AVANCO CONSTRUÇOES</t>
  </si>
  <si>
    <t xml:space="preserve">COLABORADOR </t>
  </si>
  <si>
    <t>CELULAR CORP</t>
  </si>
  <si>
    <t>SUPORTE</t>
  </si>
  <si>
    <t>FONE</t>
  </si>
  <si>
    <t>TECLADO</t>
  </si>
  <si>
    <t>MOUSE</t>
  </si>
  <si>
    <t>MONITOR</t>
  </si>
  <si>
    <t xml:space="preserve">SETOR </t>
  </si>
  <si>
    <t>NUBIA CARDOSO</t>
  </si>
  <si>
    <t xml:space="preserve">SGI </t>
  </si>
  <si>
    <t>KELLY PATRICIA</t>
  </si>
  <si>
    <t xml:space="preserve">EWERTON </t>
  </si>
  <si>
    <t xml:space="preserve">ERICK </t>
  </si>
  <si>
    <t xml:space="preserve">ALESSANDRA </t>
  </si>
  <si>
    <t xml:space="preserve">RENATO </t>
  </si>
  <si>
    <t xml:space="preserve">CONTROLADORIA </t>
  </si>
  <si>
    <t>ALYSSON MESQUITA</t>
  </si>
  <si>
    <t xml:space="preserve">VANESSA LOFIEGO </t>
  </si>
  <si>
    <t xml:space="preserve">JULIANE </t>
  </si>
  <si>
    <t xml:space="preserve">ARTHUR SANTOS </t>
  </si>
  <si>
    <t xml:space="preserve">COMPRAS </t>
  </si>
  <si>
    <t>IDE PIMENTEL</t>
  </si>
  <si>
    <t xml:space="preserve">JOVANE RIBEIRO </t>
  </si>
  <si>
    <t xml:space="preserve">ESTER PATRICIA </t>
  </si>
  <si>
    <t>LUANE CARDOSO</t>
  </si>
  <si>
    <t>KENNEDY MONTEIRO</t>
  </si>
  <si>
    <t>ANGELICA SILVA</t>
  </si>
  <si>
    <t>LUCAS FERNANDES</t>
  </si>
  <si>
    <t>ALEXANDRE BRAULE</t>
  </si>
  <si>
    <t xml:space="preserve">NAYANEBE </t>
  </si>
  <si>
    <t>SECRETARIA</t>
  </si>
  <si>
    <t xml:space="preserve">MARCELO BENARROS </t>
  </si>
  <si>
    <t>EDVAN SANTOS</t>
  </si>
  <si>
    <t>SHEILA AGUIAR</t>
  </si>
  <si>
    <t>MARIA JOICE</t>
  </si>
  <si>
    <t xml:space="preserve">MARIA EDUARDA </t>
  </si>
  <si>
    <t>ENG - PROJETOS</t>
  </si>
  <si>
    <t>KATIA MOREIRA</t>
  </si>
  <si>
    <t>PAULO ZARANZA</t>
  </si>
  <si>
    <t>APRENDIZ RH</t>
  </si>
  <si>
    <t>APRENDIZ ALMOX</t>
  </si>
  <si>
    <t xml:space="preserve">JOSE ABRAAO </t>
  </si>
  <si>
    <t>e</t>
  </si>
  <si>
    <t>w</t>
  </si>
  <si>
    <t>ESTRUTURA CFTV  AVANÇO CONSTRUÇOES</t>
  </si>
  <si>
    <t>DVR INTELBRAS</t>
  </si>
  <si>
    <t>DVR MHDX 3016-C</t>
  </si>
  <si>
    <t>10.1.0.248</t>
  </si>
  <si>
    <t>CABEADA</t>
  </si>
  <si>
    <t>DVR DO SETOR ADMINISTRATIVO AVANÇO,  ONDE TODOS AS CÂMERAS ESTÃO CONECTADAS E CONTROLADAS</t>
  </si>
  <si>
    <t>PORTARIA</t>
  </si>
  <si>
    <t>CÂMERA INTELBRAS</t>
  </si>
  <si>
    <t>VHC 1120 BULLET</t>
  </si>
  <si>
    <t>DIRECIONADA PARA A ENTRADA EXTERNA DA PORTARIA, COBRNDO ESTACIONAMENTO DE FUNCIONARIOS</t>
  </si>
  <si>
    <t>DIRECIONADA PARA A ENTRADA INTERNA DA PORTARIA, COBRINDO PORTÃO DE PEDESTRES</t>
  </si>
  <si>
    <t>ESCADA DIRETORIA</t>
  </si>
  <si>
    <t>DIRECIONADA PARA ESCADA DA DIRETORIA</t>
  </si>
  <si>
    <t>ENTRADA REFEITORIO</t>
  </si>
  <si>
    <t>DIRECIONADA PARA ENTRADA DO REFEITORIO  , PEGANDO PARTE DO PATEO DO ESTOQUE</t>
  </si>
  <si>
    <t xml:space="preserve">DIRECIONADA PARA ESCADA DA DIRETORIA, ESTÁ FIXADA ACIMA DA PORTA DE ENTRADA DA DIRETORIA </t>
  </si>
  <si>
    <t>DIRECIONADA PARA O  SETOR FINANCEIRO , FIXADA ACIMA DA PORTA DO FINANCEIRO</t>
  </si>
  <si>
    <t>DIRECIONADA NO ESTOQUE DO ALMOX, FIXADA NO FINAL DO PRIMEIRO CORREDOR, COBRINDO A PORTA DE ENTRADA DO ESTOQUE</t>
  </si>
  <si>
    <t>DIRECIONADA NO ESTOQUE DO ALMOX, FIXADA NO FINAL  DO SEGUNDO CORREDOR , COBRANDO SEGUNDO CORREDOR</t>
  </si>
  <si>
    <t>ESTACIONAMENTO DIRETORIA</t>
  </si>
  <si>
    <t>DIRECIONADA PARA A VAGA DE ESTACIONAMENTO DA DIRETORIA, COBRE TAMBÉM VEICULOS DA FROTA E LATERAL DO MURO DA EMPRESA</t>
  </si>
  <si>
    <t>ESTACIONAMENTO FROTA/MOTOS</t>
  </si>
  <si>
    <t>DIRECIONADA PARA VAGAS DE MOTOS E VEICULOS DE FROTA, COBRE OUTRA LATERAL DO MURO DA EMPRESA</t>
  </si>
  <si>
    <t>SERRALHERIA</t>
  </si>
  <si>
    <t>DIRECIONADA PARA O SETOR DE SERRALHERIA , FIXADA NO INICIO DO SETOR, COBRINDO TODO O SETOR DE SERRALHEIRA</t>
  </si>
  <si>
    <t>ESCADA ADM</t>
  </si>
  <si>
    <t>DIRECIONADA PARA A ESCADA ADM, FIXADA NA VIGA AO LADO DA PORTA, COBRINDO ESCADA E PARTE DO PATE DO GALPAO</t>
  </si>
  <si>
    <t xml:space="preserve">GALPAO </t>
  </si>
  <si>
    <t xml:space="preserve">DIRECIONADA PARA A PARTE FINAL DO GALPAO , COBRINDO AREA FINAL DA EMPRESA E MURO </t>
  </si>
  <si>
    <t>DIRECIONADA PARA O GALPAO EM  FRENTE AO ALMOX, COBRINDO TODOS OS MATERIAIS QUE SÃO ARMAZENADOS NESTA ÁREA</t>
  </si>
  <si>
    <t>DIRECIONADA PARA A ESCADA QUE FICA DENTRO DO  ESTOQUE ALMOX, COBRINDO ENTRADA DA SALA DE DESCANSO.</t>
  </si>
  <si>
    <t>VIP-1230-B-G4</t>
  </si>
  <si>
    <t>10.1.0.130</t>
  </si>
  <si>
    <t>CABEADA/IP</t>
  </si>
  <si>
    <t>DIRECIONADA PARA O SETOR DE CONTROLADORIA , FIXADA NO FINAL DO CONTROLADO</t>
  </si>
  <si>
    <t>10.1.0.132</t>
  </si>
  <si>
    <t>DIRECIONADA PARA A PORTA DA SADA DIRETORIA, COBRE O FINAL DO CORREDOR ADM.</t>
  </si>
  <si>
    <t>RECEPÇÃO ADM</t>
  </si>
  <si>
    <t>10.1.0.120</t>
  </si>
  <si>
    <t>DIRECIONADA PARA A ENTRADA DO ADM/ RECEPÇÃO, COBRINDO  PORTA ADM  E SOFÁ DE ESPERA DE VISITANTES</t>
  </si>
  <si>
    <t>10.1.0.160</t>
  </si>
  <si>
    <t>DIRECIONADA PARA TODO O SETOR DE ENGENHARIA, FIXADA NA PORTA DE ENTRADA DA SALA ENGENHARIA</t>
  </si>
  <si>
    <t>3 CAMERAS INTELBRAS</t>
  </si>
  <si>
    <t>TVS AVANÇO CONSTRUÇOES</t>
  </si>
  <si>
    <t>POLEGADAS</t>
  </si>
  <si>
    <t>TV-AVAN-001</t>
  </si>
  <si>
    <t>VG</t>
  </si>
  <si>
    <t>VG50SHD4K</t>
  </si>
  <si>
    <t>TV-AVAN-002</t>
  </si>
  <si>
    <t>SAMSUNG</t>
  </si>
  <si>
    <t>UN55CU8000GXZD</t>
  </si>
  <si>
    <t>TV-AVAN-003</t>
  </si>
  <si>
    <t>REFEITORIO</t>
  </si>
  <si>
    <t>TV-AVAN-004</t>
  </si>
  <si>
    <t>SALA DE REUNIOES</t>
  </si>
  <si>
    <t>TCL</t>
  </si>
  <si>
    <t>64:57:25:8B:E7:4D</t>
  </si>
  <si>
    <t>TV-AVAN-005</t>
  </si>
  <si>
    <t>AUDITORIO</t>
  </si>
  <si>
    <t>CRISTAL</t>
  </si>
  <si>
    <t>TV-AVAN-006</t>
  </si>
  <si>
    <t>ESTOQUE</t>
  </si>
  <si>
    <t>CONTRATOS T.I AVANÇO CONSTRUÇOES</t>
  </si>
  <si>
    <t>SERVIÇO</t>
  </si>
  <si>
    <t>FORNECEDOR</t>
  </si>
  <si>
    <t>VIGÊNCIA</t>
  </si>
  <si>
    <t>VALOR</t>
  </si>
  <si>
    <t>Detalhes</t>
  </si>
  <si>
    <t>PGTO (dia)</t>
  </si>
  <si>
    <t>Telefonia Movel</t>
  </si>
  <si>
    <t>VIVO</t>
  </si>
  <si>
    <t>MENSAL</t>
  </si>
  <si>
    <t>VIVo Chip´s de dados/ligações</t>
  </si>
  <si>
    <t>Fibra optica</t>
  </si>
  <si>
    <t>VIVO fibra dedicada 100M Full , IP Publico Fixo</t>
  </si>
  <si>
    <t>FIbra optica</t>
  </si>
  <si>
    <t>CLARO</t>
  </si>
  <si>
    <t>Claro banda larga 1gb , DHCP Publico</t>
  </si>
  <si>
    <t>Monitoramente Eletrônico</t>
  </si>
  <si>
    <t>ALARME E CIA</t>
  </si>
  <si>
    <t>Monitoramento de alarmes no galpão avanço</t>
  </si>
  <si>
    <t>Erp Strato em nuvem</t>
  </si>
  <si>
    <t>ESQUEMATIKA</t>
  </si>
  <si>
    <t>Erp strato em ambiente núvem</t>
  </si>
  <si>
    <t>Winorc</t>
  </si>
  <si>
    <t>Projeto Informatica</t>
  </si>
  <si>
    <t>VITALÍCIO</t>
  </si>
  <si>
    <t>Sistema de orçamentos do setor de engenharia</t>
  </si>
  <si>
    <t>-</t>
  </si>
  <si>
    <t>OFFICE 365 Basic</t>
  </si>
  <si>
    <t>Lattine Group</t>
  </si>
  <si>
    <t>ANUAL</t>
  </si>
  <si>
    <t>Office basic sem acesso a aplicativo instalados</t>
  </si>
  <si>
    <t>OFFICE 365 STANDARD</t>
  </si>
  <si>
    <t>Office Standard com acesso a aplicativos instalados</t>
  </si>
  <si>
    <t>ZwCad</t>
  </si>
  <si>
    <t>Total Cad</t>
  </si>
  <si>
    <t>Zwcad vitalício - 54MC-MPG2-GFZP-D5PB-YTVQ-NYDU</t>
  </si>
  <si>
    <t>Zwcad vitalício - ACZD-VWXT-MZ4E-FMYU-6MBR-A7G8</t>
  </si>
  <si>
    <t>Zwcad vitalício - Y8SQ-RU3B-GUGX-6QTT-JZFW-Q28Y</t>
  </si>
  <si>
    <t>Zwcad vitalício - UG37-867Q-HXJH-3ZKW-8552-WK4Z</t>
  </si>
  <si>
    <t>Zwcad vitalício - Q5RH-KERC-UM8F-NUD5-RPHK-CKTH</t>
  </si>
  <si>
    <t>OrçaFacil</t>
  </si>
  <si>
    <t>OrcaFacil</t>
  </si>
  <si>
    <t>Software de orçamento para o usuário alexandre</t>
  </si>
  <si>
    <t>Arquivei</t>
  </si>
  <si>
    <t>Software de arquivamento web utilizado pelo setor fiscal</t>
  </si>
  <si>
    <t>Sap B1</t>
  </si>
  <si>
    <t>FGR SOLUÇÕES</t>
  </si>
  <si>
    <t>Sistema ERP</t>
  </si>
  <si>
    <t>alocação nuvem</t>
  </si>
  <si>
    <t>Mensalidade SAP B1</t>
  </si>
  <si>
    <t>MONITORES  AVANÇO CONSTRUÇOES</t>
  </si>
  <si>
    <t>OBSERVAÇÃO</t>
  </si>
  <si>
    <t>Sarah Priscilla Lopes</t>
  </si>
  <si>
    <t>Planejamento</t>
  </si>
  <si>
    <t>Dell</t>
  </si>
  <si>
    <t>Dell de 24" S2421HNM</t>
  </si>
  <si>
    <t>MON-AVAN-032</t>
  </si>
  <si>
    <t>Jovane ribeiro</t>
  </si>
  <si>
    <t>Compras</t>
  </si>
  <si>
    <t>MON 22' LED SAMSUNG LF22T350FHLMZD</t>
  </si>
  <si>
    <t>MON-AVAN-028</t>
  </si>
  <si>
    <t>Katia Regina</t>
  </si>
  <si>
    <t>Engenharia</t>
  </si>
  <si>
    <t>Dell U2422H UltraSharp de 23.8</t>
  </si>
  <si>
    <t>MON-AVAN-030</t>
  </si>
  <si>
    <t>Lucas Fernandes</t>
  </si>
  <si>
    <t>MON-AVAN-026</t>
  </si>
  <si>
    <t>Renato Cesar</t>
  </si>
  <si>
    <t>Controladoria</t>
  </si>
  <si>
    <t>MON-AVAN-018</t>
  </si>
  <si>
    <t>Lara de Oliveira</t>
  </si>
  <si>
    <t>Contratos</t>
  </si>
  <si>
    <t>MON-AVAN-010</t>
  </si>
  <si>
    <t>GESTOR</t>
  </si>
  <si>
    <t>MON-AVAN-07</t>
  </si>
  <si>
    <t>Maria eduarda</t>
  </si>
  <si>
    <t>MON-AVAN-031</t>
  </si>
  <si>
    <t>Ewerton Miléo</t>
  </si>
  <si>
    <t>AOC</t>
  </si>
  <si>
    <t xml:space="preserve"> AOC 23.6 VGA/HDMI M2470SWH2 </t>
  </si>
  <si>
    <t>MON-AVAN-03</t>
  </si>
  <si>
    <t>Marcelo Yago</t>
  </si>
  <si>
    <t xml:space="preserve"> AOC 23.6 VGA/HDMI M2470SWH5</t>
  </si>
  <si>
    <t>MON-AVAN-020</t>
  </si>
  <si>
    <t>Maria Joice</t>
  </si>
  <si>
    <t xml:space="preserve"> AOC 23.6 VGA/HDMI M2470SWH6</t>
  </si>
  <si>
    <t>MON-AVAN-02</t>
  </si>
  <si>
    <t>EDUARDO NORONHA</t>
  </si>
  <si>
    <t>MON-AVAN-013</t>
  </si>
  <si>
    <t>MON-AVAN-015</t>
  </si>
  <si>
    <t xml:space="preserve">Angelica silva </t>
  </si>
  <si>
    <t>MON-AVAN-012</t>
  </si>
  <si>
    <t>Vanessa Lofiego</t>
  </si>
  <si>
    <t>MON-AVAN-014</t>
  </si>
  <si>
    <t>Carlos Eduardo</t>
  </si>
  <si>
    <t xml:space="preserve"> AOC 23.6 VGA/HDMI M2470SWH4</t>
  </si>
  <si>
    <t>MON-AVAN-022</t>
  </si>
  <si>
    <t xml:space="preserve">Suelly </t>
  </si>
  <si>
    <t>MON-AVAN-016</t>
  </si>
  <si>
    <t xml:space="preserve">Eder </t>
  </si>
  <si>
    <t>Almoxarifado</t>
  </si>
  <si>
    <t>MON-AVAN-019</t>
  </si>
  <si>
    <t>Nubia</t>
  </si>
  <si>
    <t>MON-AVAN-06</t>
  </si>
  <si>
    <t>juliane nogueira</t>
  </si>
  <si>
    <t>MON-AVAN-011</t>
  </si>
  <si>
    <t>Alex</t>
  </si>
  <si>
    <t>MON-AVAN-023</t>
  </si>
  <si>
    <t xml:space="preserve">Kemislane </t>
  </si>
  <si>
    <t>MON-AVAN-09</t>
  </si>
  <si>
    <t xml:space="preserve">LAIS </t>
  </si>
  <si>
    <t>Dell U2422H UltraSharp de 23.9</t>
  </si>
  <si>
    <t>MON-AVAN-08</t>
  </si>
  <si>
    <t>SANDRO CAiQUE</t>
  </si>
  <si>
    <t>Philips</t>
  </si>
  <si>
    <t>UltraGear 24GS60F-B 24''</t>
  </si>
  <si>
    <t>MON-AVAN-029</t>
  </si>
  <si>
    <t>ALESSANDRA</t>
  </si>
  <si>
    <t xml:space="preserve">All in one Samsung Dp500a2l Core  </t>
  </si>
  <si>
    <t>MON-AVAN-04</t>
  </si>
  <si>
    <t xml:space="preserve">Marcelo benarros </t>
  </si>
  <si>
    <t>MON-AVAN-27</t>
  </si>
  <si>
    <t xml:space="preserve">Kelly </t>
  </si>
  <si>
    <t>Sgi</t>
  </si>
  <si>
    <t>MON-AVAN-048</t>
  </si>
  <si>
    <t xml:space="preserve">NAYA </t>
  </si>
  <si>
    <t>MON-AVAN-25</t>
  </si>
  <si>
    <t>Anderson patrick</t>
  </si>
  <si>
    <t>MON-AVAN-05</t>
  </si>
  <si>
    <t>ELAYNE FIGUEIREDO</t>
  </si>
  <si>
    <t>MON 27' 271V8L FULL HD LED</t>
  </si>
  <si>
    <t>MON-AVAN-024</t>
  </si>
  <si>
    <t xml:space="preserve">GLEICIANE </t>
  </si>
  <si>
    <t>MON-AVAN-033</t>
  </si>
  <si>
    <t xml:space="preserve">DP </t>
  </si>
  <si>
    <t>MON-AVAN-021</t>
  </si>
  <si>
    <t xml:space="preserve">MARCELO YAGO </t>
  </si>
  <si>
    <t>MON 22'  S22D300GAL</t>
  </si>
  <si>
    <t>MON-AVAN-034</t>
  </si>
  <si>
    <t>Aleilson Menezes</t>
  </si>
  <si>
    <t>MON-AVAN-035</t>
  </si>
  <si>
    <t>PERY ALBERTO</t>
  </si>
  <si>
    <t>MON-AVAN-036</t>
  </si>
  <si>
    <t xml:space="preserve">LEANDRA LIBORIO </t>
  </si>
  <si>
    <t>MON-AVAN-037</t>
  </si>
  <si>
    <t>MON-AVAN-038</t>
  </si>
  <si>
    <t xml:space="preserve">GABRIEL </t>
  </si>
  <si>
    <t>MON-AVAN-039</t>
  </si>
  <si>
    <t>MON EXTRA DO GABINETE - 046</t>
  </si>
  <si>
    <t xml:space="preserve">YEDDA VASCONSELOS </t>
  </si>
  <si>
    <t>MON-AVAN-040</t>
  </si>
  <si>
    <t>MON-AVAN-042</t>
  </si>
  <si>
    <t>MON-AVAN-041</t>
  </si>
  <si>
    <t xml:space="preserve">LUIS FONSECA </t>
  </si>
  <si>
    <t>MON-AVAN-043</t>
  </si>
  <si>
    <t xml:space="preserve">ROBSON MARTINS </t>
  </si>
  <si>
    <t>MON-AVAN-044</t>
  </si>
  <si>
    <t>MON-AVAN-045</t>
  </si>
  <si>
    <t xml:space="preserve">ALEX </t>
  </si>
  <si>
    <t xml:space="preserve">ENGENHARIA </t>
  </si>
  <si>
    <t>MON-AVAN-047</t>
  </si>
  <si>
    <t>CELULARES/CHIPS DE DADOS AVANÇO CONSTRUÇOES</t>
  </si>
  <si>
    <t>Valor aparelho</t>
  </si>
  <si>
    <t>LINHA( CHIP)</t>
  </si>
  <si>
    <t>Valor chip</t>
  </si>
  <si>
    <t>CELULARES</t>
  </si>
  <si>
    <t>Luiz Alberto Conde</t>
  </si>
  <si>
    <t>DIRETORIA</t>
  </si>
  <si>
    <t xml:space="preserve">SOMENTE LINHA </t>
  </si>
  <si>
    <t>92-99461-1313</t>
  </si>
  <si>
    <t>USO</t>
  </si>
  <si>
    <t>Alenilson Silva Guimaraes</t>
  </si>
  <si>
    <t>IMA OBRA 86</t>
  </si>
  <si>
    <t>GALAXY A04</t>
  </si>
  <si>
    <t>92-99308-9645</t>
  </si>
  <si>
    <t>CARLOS ALBERTO</t>
  </si>
  <si>
    <t>92-994380359</t>
  </si>
  <si>
    <t>RENATO CESAR- CONTROLADORIA</t>
  </si>
  <si>
    <t>SAC</t>
  </si>
  <si>
    <t>MOTOROLA</t>
  </si>
  <si>
    <t>MOTO G54</t>
  </si>
  <si>
    <t>92-99381-3245</t>
  </si>
  <si>
    <t>EDER SOUSA</t>
  </si>
  <si>
    <t>MOTO G 35</t>
  </si>
  <si>
    <t>92-99411-9608</t>
  </si>
  <si>
    <t xml:space="preserve">MODELOS DE TELEFONES EM USO </t>
  </si>
  <si>
    <t>Christian Araujo</t>
  </si>
  <si>
    <t>GALAXY A01</t>
  </si>
  <si>
    <t>92-99430-4610</t>
  </si>
  <si>
    <t>Alessandra Rodrigues</t>
  </si>
  <si>
    <t>92-99450-3451</t>
  </si>
  <si>
    <t xml:space="preserve">MOTO G 54 </t>
  </si>
  <si>
    <t xml:space="preserve">IPHONE 14 </t>
  </si>
  <si>
    <t>MOTO G84</t>
  </si>
  <si>
    <t>92-99477-8285</t>
  </si>
  <si>
    <t>Kimio Ida</t>
  </si>
  <si>
    <t>92-99272-4845</t>
  </si>
  <si>
    <t>Cleudemir Brandão</t>
  </si>
  <si>
    <t>92-99309-0725</t>
  </si>
  <si>
    <t>Victor Palheta</t>
  </si>
  <si>
    <t>PROSAI ALMOX</t>
  </si>
  <si>
    <t>92-99474-2768</t>
  </si>
  <si>
    <t>APPLE</t>
  </si>
  <si>
    <t>IPHONE 14 512 GB</t>
  </si>
  <si>
    <t>92-99459-9207</t>
  </si>
  <si>
    <t>SAC PARINTINS</t>
  </si>
  <si>
    <t>SAC PROSAI</t>
  </si>
  <si>
    <t>92-991062488</t>
  </si>
  <si>
    <t xml:space="preserve">Lucas Lima </t>
  </si>
  <si>
    <t>92-99109-9445</t>
  </si>
  <si>
    <t>CORPORATIVO RH</t>
  </si>
  <si>
    <t>92-99341-2925</t>
  </si>
  <si>
    <t xml:space="preserve">IAGO TEXEIRA </t>
  </si>
  <si>
    <t>92-994313548</t>
  </si>
  <si>
    <t>Arthur Santos</t>
  </si>
  <si>
    <t>CORPORATIVO COMPRAS</t>
  </si>
  <si>
    <t>92-994279520</t>
  </si>
  <si>
    <t>Bruno Lira Sousa</t>
  </si>
  <si>
    <t>92-994584860</t>
  </si>
  <si>
    <t xml:space="preserve"> LUIZ FILIPE</t>
  </si>
  <si>
    <t>ENCARREGADO MANUTENÇÃO</t>
  </si>
  <si>
    <t>CHIP</t>
  </si>
  <si>
    <t>92-991870186</t>
  </si>
  <si>
    <t>92-994587662</t>
  </si>
  <si>
    <t>LINHA</t>
  </si>
  <si>
    <t>92-99317-8805</t>
  </si>
  <si>
    <t>PAULO VITOR ZARANZA</t>
  </si>
  <si>
    <t>ASSISTENTE DIRETORIA</t>
  </si>
  <si>
    <t>92-994023128</t>
  </si>
  <si>
    <t>92-992468765</t>
  </si>
  <si>
    <t>ativado chip - 89551097171076936961</t>
  </si>
  <si>
    <t>92-992671542</t>
  </si>
  <si>
    <t>ativado chip - 89551097171076931277</t>
  </si>
  <si>
    <t>Luiz conde 50gb</t>
  </si>
  <si>
    <t>92-992701919</t>
  </si>
  <si>
    <t>LIVRE</t>
  </si>
  <si>
    <t xml:space="preserve">ALCATEL </t>
  </si>
  <si>
    <t>ONETOUCH(NÃO FUNCIONA WHATS APP)</t>
  </si>
  <si>
    <t>92-30296649</t>
  </si>
  <si>
    <t>NUBIA</t>
  </si>
  <si>
    <t>92-99348-3479</t>
  </si>
  <si>
    <t>BERNARD</t>
  </si>
  <si>
    <t>929-99250-3312</t>
  </si>
  <si>
    <t>HECTOR REIS</t>
  </si>
  <si>
    <t>ENGENHEIRO NAVAL</t>
  </si>
  <si>
    <t>92-99348-0041</t>
  </si>
  <si>
    <t>ENCARREGADO CLEITON</t>
  </si>
  <si>
    <t>31-99568-9781</t>
  </si>
  <si>
    <t>TABLETS</t>
  </si>
  <si>
    <t>MULTI ULTRA U10</t>
  </si>
  <si>
    <t>31 97135-1911</t>
  </si>
  <si>
    <t>PETTERSON  BEZERRA</t>
  </si>
  <si>
    <t>31-995220984</t>
  </si>
  <si>
    <t>LUIZ FILIPE</t>
  </si>
  <si>
    <t>TABLET</t>
  </si>
  <si>
    <t>ALENILSON GUIMARAES</t>
  </si>
  <si>
    <t>GALAXY TAB A9</t>
  </si>
  <si>
    <t>31-971313974</t>
  </si>
  <si>
    <t>CLEUDEMIR SILVA</t>
  </si>
  <si>
    <t>31-99579-2496</t>
  </si>
  <si>
    <r>
      <rPr>
        <b/>
        <sz val="10.5"/>
        <color rgb="FFDBE6FF"/>
        <rFont val="Franklin Gothic Medium"/>
        <family val="2"/>
        <scheme val="minor"/>
      </rPr>
      <t>Documento</t>
    </r>
  </si>
  <si>
    <r>
      <rPr>
        <b/>
        <sz val="10.5"/>
        <color rgb="FFDBE6FF"/>
        <rFont val="Franklin Gothic Medium"/>
        <family val="2"/>
        <scheme val="minor"/>
      </rPr>
      <t>CodCli</t>
    </r>
  </si>
  <si>
    <r>
      <rPr>
        <b/>
        <sz val="10.5"/>
        <color rgb="FFDBE6FF"/>
        <rFont val="Franklin Gothic Medium"/>
        <family val="2"/>
        <scheme val="minor"/>
      </rPr>
      <t>OescricaoPlano</t>
    </r>
  </si>
  <si>
    <r>
      <rPr>
        <b/>
        <sz val="10.5"/>
        <color rgb="FFDBE6FF"/>
        <rFont val="Franklin Gothic Medium"/>
        <family val="2"/>
        <scheme val="minor"/>
      </rPr>
      <t>NRConta</t>
    </r>
  </si>
  <si>
    <r>
      <rPr>
        <b/>
        <sz val="10.5"/>
        <color rgb="FFDBE6FF"/>
        <rFont val="Franklin Gothic Medium"/>
        <family val="2"/>
        <scheme val="minor"/>
      </rPr>
      <t>Telefone</t>
    </r>
  </si>
  <si>
    <r>
      <rPr>
        <b/>
        <sz val="10.5"/>
        <color rgb="FFDBE6FF"/>
        <rFont val="Franklin Gothic Medium"/>
        <family val="2"/>
        <scheme val="minor"/>
      </rPr>
      <t>ValorReceita</t>
    </r>
  </si>
  <si>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8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483831"/>
        <rFont val="Franklin Gothic Medium"/>
        <family val="2"/>
        <scheme val="minor"/>
      </rPr>
      <t>45858000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0</t>
    </r>
    <r>
      <rPr>
        <b/>
        <vertAlign val="subscript"/>
        <sz val="16"/>
        <color rgb="FF008000"/>
        <rFont val="Franklin Gothic Medium"/>
        <family val="2"/>
        <scheme val="minor"/>
      </rPr>
      <t>,</t>
    </r>
    <r>
      <rPr>
        <b/>
        <sz val="10.5"/>
        <color rgb="FF3B2F42"/>
        <rFont val="Franklin Gothic Medium"/>
        <family val="2"/>
        <scheme val="minor"/>
      </rPr>
      <t>0</t>
    </r>
  </si>
  <si>
    <r>
      <rPr>
        <b/>
        <sz val="10.5"/>
        <color rgb="FF3B2F42"/>
        <rFont val="Franklin Gothic Medium"/>
        <family val="2"/>
        <scheme val="minor"/>
      </rPr>
      <t>Smart Em</t>
    </r>
    <r>
      <rPr>
        <b/>
        <sz val="10.5"/>
        <color rgb="FF5D2A26"/>
        <rFont val="Franklin Gothic Medium"/>
        <family val="2"/>
        <scheme val="minor"/>
      </rPr>
      <t>p</t>
    </r>
    <r>
      <rPr>
        <b/>
        <sz val="10.5"/>
        <color rgb="FF46001A"/>
        <rFont val="Franklin Gothic Medium"/>
        <family val="2"/>
        <scheme val="minor"/>
      </rPr>
      <t>r</t>
    </r>
    <r>
      <rPr>
        <b/>
        <sz val="10.5"/>
        <color rgb="FF261831"/>
        <rFont val="Franklin Gothic Medium"/>
        <family val="2"/>
        <scheme val="minor"/>
      </rPr>
      <t xml:space="preserve">esas 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g</t>
    </r>
    <r>
      <rPr>
        <b/>
        <sz val="10.5"/>
        <color rgb="FF5D2A26"/>
        <rFont val="Franklin Gothic Medium"/>
        <family val="2"/>
        <scheme val="minor"/>
      </rPr>
      <t xml:space="preserve">b </t>
    </r>
    <r>
      <rPr>
        <b/>
        <sz val="10.5"/>
        <color rgb="FF3B2F42"/>
        <rFont val="Franklin Gothic Medium"/>
        <family val="2"/>
        <scheme val="minor"/>
      </rPr>
      <t>Mas</t>
    </r>
  </si>
  <si>
    <r>
      <rPr>
        <b/>
        <sz val="10.5"/>
        <color rgb="FF3B2F42"/>
        <rFont val="Franklin Gothic Medium"/>
        <family val="2"/>
        <scheme val="minor"/>
      </rPr>
      <t>0350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630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vertAlign val="subscript"/>
        <sz val="16"/>
        <color rgb="FF008000"/>
        <rFont val="Franklin Gothic Medium"/>
        <family val="2"/>
        <scheme val="minor"/>
      </rPr>
      <t>,</t>
    </r>
    <r>
      <rPr>
        <b/>
        <sz val="10.5"/>
        <color rgb="FF3B2F42"/>
        <rFont val="Franklin Gothic Medium"/>
        <family val="2"/>
        <scheme val="minor"/>
      </rPr>
      <t>7</t>
    </r>
  </si>
  <si>
    <r>
      <rPr>
        <b/>
        <sz val="10.5"/>
        <color rgb="FF008000"/>
        <rFont val="Franklin Gothic Medium"/>
        <family val="2"/>
        <scheme val="minor"/>
      </rPr>
      <t>'</t>
    </r>
    <r>
      <rPr>
        <b/>
        <sz val="10.5"/>
        <color rgb="FF3B2F42"/>
        <rFont val="Franklin Gothic Medium"/>
        <family val="2"/>
        <scheme val="minor"/>
      </rPr>
      <t>0350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630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vertAlign val="subscript"/>
        <sz val="16"/>
        <color rgb="FF008000"/>
        <rFont val="Franklin Gothic Medium"/>
        <family val="2"/>
        <scheme val="minor"/>
      </rPr>
      <t>,</t>
    </r>
    <r>
      <rPr>
        <b/>
        <sz val="10.5"/>
        <color rgb="FF3B2F42"/>
        <rFont val="Franklin Gothic Medium"/>
        <family val="2"/>
        <scheme val="minor"/>
      </rPr>
      <t>7</t>
    </r>
  </si>
  <si>
    <t>MULTI ULTRA U11</t>
  </si>
  <si>
    <t>GALAXY A11</t>
  </si>
  <si>
    <t>Smart Empresas 3gb Ma,s</t>
  </si>
  <si>
    <t>'035016301,7</t>
  </si>
  <si>
    <t xml:space="preserve">NÃO USAR                 </t>
  </si>
  <si>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8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483831"/>
        <rFont val="Franklin Gothic Medium"/>
        <family val="2"/>
        <scheme val="minor"/>
      </rPr>
      <t>45858000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0</t>
    </r>
    <r>
      <rPr>
        <b/>
        <vertAlign val="subscript"/>
        <sz val="16"/>
        <color rgb="FF008000"/>
        <rFont val="Franklin Gothic Medium"/>
        <family val="2"/>
        <scheme val="minor"/>
      </rPr>
      <t>,</t>
    </r>
    <r>
      <rPr>
        <b/>
        <sz val="10.5"/>
        <color rgb="FF3B2F42"/>
        <rFont val="Franklin Gothic Medium"/>
        <family val="2"/>
        <scheme val="minor"/>
      </rPr>
      <t>2</t>
    </r>
    <r>
      <rPr>
        <sz val="11"/>
        <color theme="1"/>
        <rFont val="Franklin Gothic Medium"/>
        <family val="2"/>
        <scheme val="minor"/>
      </rPr>
      <t/>
    </r>
  </si>
  <si>
    <r>
      <rPr>
        <b/>
        <sz val="10.5"/>
        <color rgb="FF3B2F42"/>
        <rFont val="Franklin Gothic Medium"/>
        <family val="2"/>
        <scheme val="minor"/>
      </rPr>
      <t>Smart Em</t>
    </r>
    <r>
      <rPr>
        <b/>
        <sz val="10.5"/>
        <color rgb="FF5D2A26"/>
        <rFont val="Franklin Gothic Medium"/>
        <family val="2"/>
        <scheme val="minor"/>
      </rPr>
      <t>p</t>
    </r>
    <r>
      <rPr>
        <b/>
        <sz val="10.5"/>
        <color rgb="FF46001A"/>
        <rFont val="Franklin Gothic Medium"/>
        <family val="2"/>
        <scheme val="minor"/>
      </rPr>
      <t>r</t>
    </r>
    <r>
      <rPr>
        <b/>
        <sz val="10.5"/>
        <color rgb="FF261831"/>
        <rFont val="Franklin Gothic Medium"/>
        <family val="2"/>
        <scheme val="minor"/>
      </rPr>
      <t xml:space="preserve">esas </t>
    </r>
    <r>
      <rPr>
        <b/>
        <sz val="10.5"/>
        <color rgb="FF3B2F42"/>
        <rFont val="Franklin Gothic Medium"/>
        <family val="2"/>
        <scheme val="minor"/>
      </rPr>
      <t>15g</t>
    </r>
    <r>
      <rPr>
        <b/>
        <sz val="10.5"/>
        <color rgb="FF5D2A26"/>
        <rFont val="Franklin Gothic Medium"/>
        <family val="2"/>
        <scheme val="minor"/>
      </rPr>
      <t xml:space="preserve">b </t>
    </r>
    <r>
      <rPr>
        <b/>
        <sz val="10.5"/>
        <color rgb="FF3B2F42"/>
        <rFont val="Franklin Gothic Medium"/>
        <family val="2"/>
        <scheme val="minor"/>
      </rPr>
      <t>M</t>
    </r>
    <r>
      <rPr>
        <b/>
        <vertAlign val="subscript"/>
        <sz val="16"/>
        <color rgb="FF008000"/>
        <rFont val="Franklin Gothic Medium"/>
        <family val="2"/>
        <scheme val="minor"/>
      </rPr>
      <t>,</t>
    </r>
    <r>
      <rPr>
        <b/>
        <sz val="10.5"/>
        <color rgb="FF3B2F42"/>
        <rFont val="Franklin Gothic Medium"/>
        <family val="2"/>
        <scheme val="minor"/>
      </rPr>
      <t>as</t>
    </r>
  </si>
  <si>
    <r>
      <rPr>
        <b/>
        <sz val="10.5"/>
        <color rgb="FF3B2F42"/>
        <rFont val="Franklin Gothic Medium"/>
        <family val="2"/>
        <scheme val="minor"/>
      </rPr>
      <t>Smart Em</t>
    </r>
    <r>
      <rPr>
        <b/>
        <sz val="10.5"/>
        <color rgb="FF5D2A26"/>
        <rFont val="Franklin Gothic Medium"/>
        <family val="2"/>
        <scheme val="minor"/>
      </rPr>
      <t>p</t>
    </r>
    <r>
      <rPr>
        <b/>
        <sz val="10.5"/>
        <color rgb="FF46001A"/>
        <rFont val="Franklin Gothic Medium"/>
        <family val="2"/>
        <scheme val="minor"/>
      </rPr>
      <t>r</t>
    </r>
    <r>
      <rPr>
        <b/>
        <sz val="10.5"/>
        <color rgb="FF261831"/>
        <rFont val="Franklin Gothic Medium"/>
        <family val="2"/>
        <scheme val="minor"/>
      </rPr>
      <t xml:space="preserve">esas </t>
    </r>
    <r>
      <rPr>
        <b/>
        <sz val="10.5"/>
        <color rgb="FF3B2F42"/>
        <rFont val="Franklin Gothic Medium"/>
        <family val="2"/>
        <scheme val="minor"/>
      </rPr>
      <t>50g</t>
    </r>
    <r>
      <rPr>
        <b/>
        <sz val="10.5"/>
        <color rgb="FF5D2A26"/>
        <rFont val="Franklin Gothic Medium"/>
        <family val="2"/>
        <scheme val="minor"/>
      </rPr>
      <t xml:space="preserve">b </t>
    </r>
    <r>
      <rPr>
        <b/>
        <sz val="10.5"/>
        <color rgb="FF3B2F42"/>
        <rFont val="Franklin Gothic Medium"/>
        <family val="2"/>
        <scheme val="minor"/>
      </rPr>
      <t>Mas</t>
    </r>
  </si>
  <si>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8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483831"/>
        <rFont val="Franklin Gothic Medium"/>
        <family val="2"/>
        <scheme val="minor"/>
      </rPr>
      <t>45858000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0</t>
    </r>
    <r>
      <rPr>
        <b/>
        <vertAlign val="subscript"/>
        <sz val="16"/>
        <color rgb="FF008000"/>
        <rFont val="Franklin Gothic Medium"/>
        <family val="2"/>
        <scheme val="minor"/>
      </rPr>
      <t>,</t>
    </r>
    <r>
      <rPr>
        <b/>
        <sz val="10.5"/>
        <color rgb="FF3B2F42"/>
        <rFont val="Franklin Gothic Medium"/>
        <family val="2"/>
        <scheme val="minor"/>
      </rPr>
      <t xml:space="preserve">0
</t>
    </r>
  </si>
  <si>
    <r>
      <rPr>
        <b/>
        <sz val="10.5"/>
        <color rgb="FF483831"/>
        <rFont val="Franklin Gothic Medium"/>
        <family val="2"/>
        <scheme val="minor"/>
      </rPr>
      <t>40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8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483831"/>
        <rFont val="Franklin Gothic Medium"/>
        <family val="2"/>
        <scheme val="minor"/>
      </rPr>
      <t xml:space="preserve">45858
</t>
    </r>
  </si>
  <si>
    <r>
      <rPr>
        <b/>
        <sz val="10.5"/>
        <color rgb="FF3B2F42"/>
        <rFont val="Franklin Gothic Medium"/>
        <family val="2"/>
        <scheme val="minor"/>
      </rPr>
      <t>Smart Em</t>
    </r>
    <r>
      <rPr>
        <b/>
        <sz val="10.5"/>
        <color rgb="FF5D2A26"/>
        <rFont val="Franklin Gothic Medium"/>
        <family val="2"/>
        <scheme val="minor"/>
      </rPr>
      <t>p</t>
    </r>
    <r>
      <rPr>
        <b/>
        <sz val="10.5"/>
        <color rgb="FF46001A"/>
        <rFont val="Franklin Gothic Medium"/>
        <family val="2"/>
        <scheme val="minor"/>
      </rPr>
      <t>r</t>
    </r>
    <r>
      <rPr>
        <b/>
        <sz val="10.5"/>
        <color rgb="FF3B2F42"/>
        <rFont val="Franklin Gothic Medium"/>
        <family val="2"/>
        <scheme val="minor"/>
      </rPr>
      <t xml:space="preserve">esas 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g</t>
    </r>
    <r>
      <rPr>
        <b/>
        <sz val="10.5"/>
        <color rgb="FF5D2A26"/>
        <rFont val="Franklin Gothic Medium"/>
        <family val="2"/>
        <scheme val="minor"/>
      </rPr>
      <t xml:space="preserve">b </t>
    </r>
    <r>
      <rPr>
        <b/>
        <sz val="10.5"/>
        <color rgb="FF3B2F42"/>
        <rFont val="Franklin Gothic Medium"/>
        <family val="2"/>
        <scheme val="minor"/>
      </rPr>
      <t>Mas</t>
    </r>
  </si>
  <si>
    <r>
      <rPr>
        <b/>
        <sz val="10.5"/>
        <color rgb="FF3B2F42"/>
        <rFont val="Franklin Gothic Medium"/>
        <family val="2"/>
        <scheme val="minor"/>
      </rPr>
      <t>0350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630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vertAlign val="subscript"/>
        <sz val="16"/>
        <color rgb="FF008000"/>
        <rFont val="Franklin Gothic Medium"/>
        <family val="2"/>
        <scheme val="minor"/>
      </rPr>
      <t>,</t>
    </r>
    <r>
      <rPr>
        <b/>
        <sz val="10.5"/>
        <color rgb="FF3B2F42"/>
        <rFont val="Franklin Gothic Medium"/>
        <family val="2"/>
        <scheme val="minor"/>
      </rPr>
      <t xml:space="preserve">7
</t>
    </r>
  </si>
  <si>
    <r>
      <rPr>
        <b/>
        <sz val="10.5"/>
        <color rgb="FF261831"/>
        <rFont val="Franklin Gothic Medium"/>
        <family val="2"/>
        <scheme val="minor"/>
      </rPr>
      <t>92993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 xml:space="preserve">78805
</t>
    </r>
    <r>
      <rPr>
        <b/>
        <sz val="10.5"/>
        <color rgb="FF261831"/>
        <rFont val="Franklin Gothic Medium"/>
        <family val="2"/>
        <scheme val="minor"/>
      </rPr>
      <t xml:space="preserve">
</t>
    </r>
    <r>
      <rPr>
        <b/>
        <sz val="10.5"/>
        <color rgb="FF4F4F57"/>
        <rFont val="Franklin Gothic Medium"/>
        <family val="2"/>
        <scheme val="minor"/>
      </rPr>
      <t xml:space="preserve">
</t>
    </r>
  </si>
  <si>
    <r>
      <rPr>
        <b/>
        <sz val="10.5"/>
        <color rgb="FF3B2F42"/>
        <rFont val="Franklin Gothic Medium"/>
        <family val="2"/>
        <scheme val="minor"/>
      </rPr>
      <t>33</t>
    </r>
    <r>
      <rPr>
        <b/>
        <sz val="10.5"/>
        <color rgb="FF626269"/>
        <rFont val="Franklin Gothic Medium"/>
        <family val="2"/>
        <scheme val="minor"/>
      </rPr>
      <t>,</t>
    </r>
    <r>
      <rPr>
        <b/>
        <sz val="10.5"/>
        <color rgb="FF3B2F42"/>
        <rFont val="Franklin Gothic Medium"/>
        <family val="2"/>
        <scheme val="minor"/>
      </rPr>
      <t xml:space="preserve">84
</t>
    </r>
  </si>
  <si>
    <t>ALLYSON MESQUITA</t>
  </si>
  <si>
    <r>
      <rPr>
        <b/>
        <sz val="10.5"/>
        <color rgb="FF3B2F42"/>
        <rFont val="Franklin Gothic Medium"/>
        <family val="2"/>
        <scheme val="minor"/>
      </rPr>
      <t>Smart Em</t>
    </r>
    <r>
      <rPr>
        <b/>
        <sz val="10.5"/>
        <color rgb="FF5D2A26"/>
        <rFont val="Franklin Gothic Medium"/>
        <family val="2"/>
        <scheme val="minor"/>
      </rPr>
      <t>p</t>
    </r>
    <r>
      <rPr>
        <b/>
        <sz val="10.5"/>
        <color rgb="FF46001A"/>
        <rFont val="Franklin Gothic Medium"/>
        <family val="2"/>
        <scheme val="minor"/>
      </rPr>
      <t>r</t>
    </r>
    <r>
      <rPr>
        <b/>
        <sz val="10.5"/>
        <color rgb="FF3B2F42"/>
        <rFont val="Franklin Gothic Medium"/>
        <family val="2"/>
        <scheme val="minor"/>
      </rPr>
      <t xml:space="preserve">esas 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g</t>
    </r>
    <r>
      <rPr>
        <b/>
        <sz val="10.5"/>
        <color rgb="FF5D2A26"/>
        <rFont val="Franklin Gothic Medium"/>
        <family val="2"/>
        <scheme val="minor"/>
      </rPr>
      <t xml:space="preserve">b </t>
    </r>
    <r>
      <rPr>
        <b/>
        <sz val="10.5"/>
        <color rgb="FF3B2F42"/>
        <rFont val="Franklin Gothic Medium"/>
        <family val="2"/>
        <scheme val="minor"/>
      </rPr>
      <t>Ma</t>
    </r>
    <r>
      <rPr>
        <b/>
        <vertAlign val="subscript"/>
        <sz val="16"/>
        <color rgb="FF008000"/>
        <rFont val="Franklin Gothic Medium"/>
        <family val="2"/>
        <scheme val="minor"/>
      </rPr>
      <t>,</t>
    </r>
    <r>
      <rPr>
        <b/>
        <sz val="10.5"/>
        <color rgb="FF3B2F42"/>
        <rFont val="Franklin Gothic Medium"/>
        <family val="2"/>
        <scheme val="minor"/>
      </rPr>
      <t>s</t>
    </r>
  </si>
  <si>
    <r>
      <rPr>
        <b/>
        <sz val="10.5"/>
        <color rgb="FF3B2F42"/>
        <rFont val="Franklin Gothic Medium"/>
        <family val="2"/>
        <scheme val="minor"/>
      </rPr>
      <t>Smart Em</t>
    </r>
    <r>
      <rPr>
        <b/>
        <sz val="10.5"/>
        <color rgb="FF5D2A26"/>
        <rFont val="Franklin Gothic Medium"/>
        <family val="2"/>
        <scheme val="minor"/>
      </rPr>
      <t>p</t>
    </r>
    <r>
      <rPr>
        <b/>
        <sz val="10.5"/>
        <color rgb="FF46001A"/>
        <rFont val="Franklin Gothic Medium"/>
        <family val="2"/>
        <scheme val="minor"/>
      </rPr>
      <t>r</t>
    </r>
    <r>
      <rPr>
        <b/>
        <sz val="10.5"/>
        <color rgb="FF3B2F42"/>
        <rFont val="Franklin Gothic Medium"/>
        <family val="2"/>
        <scheme val="minor"/>
      </rPr>
      <t>esas 20g</t>
    </r>
    <r>
      <rPr>
        <b/>
        <sz val="10.5"/>
        <color rgb="FF5D2A26"/>
        <rFont val="Franklin Gothic Medium"/>
        <family val="2"/>
        <scheme val="minor"/>
      </rPr>
      <t xml:space="preserve">b </t>
    </r>
    <r>
      <rPr>
        <b/>
        <sz val="10.5"/>
        <color rgb="FF3B2F42"/>
        <rFont val="Franklin Gothic Medium"/>
        <family val="2"/>
        <scheme val="minor"/>
      </rPr>
      <t>Mas</t>
    </r>
  </si>
  <si>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8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483831"/>
        <rFont val="Franklin Gothic Medium"/>
        <family val="2"/>
        <scheme val="minor"/>
      </rPr>
      <t>45858000</t>
    </r>
    <r>
      <rPr>
        <b/>
        <sz val="10.5"/>
        <color rgb="FF4F4F57"/>
        <rFont val="Franklin Gothic Medium"/>
        <family val="2"/>
        <scheme val="minor"/>
      </rPr>
      <t>1</t>
    </r>
    <r>
      <rPr>
        <b/>
        <sz val="10.5"/>
        <color rgb="FF3B2F42"/>
        <rFont val="Franklin Gothic Medium"/>
        <family val="2"/>
        <scheme val="minor"/>
      </rPr>
      <t>0</t>
    </r>
    <r>
      <rPr>
        <b/>
        <vertAlign val="subscript"/>
        <sz val="16"/>
        <color rgb="FF008000"/>
        <rFont val="Franklin Gothic Medium"/>
        <family val="2"/>
        <scheme val="minor"/>
      </rPr>
      <t>,</t>
    </r>
    <r>
      <rPr>
        <b/>
        <sz val="10.5"/>
        <color rgb="FF3B2F42"/>
        <rFont val="Franklin Gothic Medium"/>
        <family val="2"/>
        <scheme val="minor"/>
      </rPr>
      <t xml:space="preserve">0
</t>
    </r>
  </si>
  <si>
    <r>
      <rPr>
        <b/>
        <sz val="10.5"/>
        <color rgb="FF3B2F42"/>
        <rFont val="Franklin Gothic Medium"/>
        <family val="2"/>
        <scheme val="minor"/>
      </rPr>
      <t>Smart Em</t>
    </r>
    <r>
      <rPr>
        <b/>
        <sz val="10.5"/>
        <color rgb="FF5D2A26"/>
        <rFont val="Franklin Gothic Medium"/>
        <family val="2"/>
        <scheme val="minor"/>
      </rPr>
      <t>p</t>
    </r>
    <r>
      <rPr>
        <b/>
        <sz val="10.5"/>
        <color rgb="FF46001A"/>
        <rFont val="Franklin Gothic Medium"/>
        <family val="2"/>
        <scheme val="minor"/>
      </rPr>
      <t>r</t>
    </r>
    <r>
      <rPr>
        <b/>
        <sz val="10.5"/>
        <color rgb="FF3B2F42"/>
        <rFont val="Franklin Gothic Medium"/>
        <family val="2"/>
        <scheme val="minor"/>
      </rPr>
      <t>esas 2g</t>
    </r>
    <r>
      <rPr>
        <b/>
        <sz val="10.5"/>
        <color rgb="FF5D2A26"/>
        <rFont val="Franklin Gothic Medium"/>
        <family val="2"/>
        <scheme val="minor"/>
      </rPr>
      <t xml:space="preserve">b </t>
    </r>
    <r>
      <rPr>
        <b/>
        <sz val="10.5"/>
        <color rgb="FF3B2F42"/>
        <rFont val="Franklin Gothic Medium"/>
        <family val="2"/>
        <scheme val="minor"/>
      </rPr>
      <t>Mas</t>
    </r>
    <r>
      <rPr>
        <b/>
        <vertAlign val="subscript"/>
        <sz val="16"/>
        <color rgb="FF008000"/>
        <rFont val="Franklin Gothic Medium"/>
        <family val="2"/>
        <scheme val="minor"/>
      </rPr>
      <t xml:space="preserve">,
</t>
    </r>
  </si>
  <si>
    <r>
      <rPr>
        <b/>
        <sz val="10.5"/>
        <color rgb="FF261831"/>
        <rFont val="Franklin Gothic Medium"/>
        <family val="2"/>
        <scheme val="minor"/>
      </rPr>
      <t>9299</t>
    </r>
    <r>
      <rPr>
        <b/>
        <sz val="10.5"/>
        <color rgb="FF483831"/>
        <rFont val="Franklin Gothic Medium"/>
        <family val="2"/>
        <scheme val="minor"/>
      </rPr>
      <t>450345</t>
    </r>
    <r>
      <rPr>
        <b/>
        <sz val="10.5"/>
        <color rgb="FF4F4F57"/>
        <rFont val="Franklin Gothic Medium"/>
        <family val="2"/>
        <scheme val="minor"/>
      </rPr>
      <t xml:space="preserve">1
</t>
    </r>
  </si>
  <si>
    <r>
      <rPr>
        <b/>
        <sz val="10.5"/>
        <color rgb="FF3B2F42"/>
        <rFont val="Franklin Gothic Medium"/>
        <family val="2"/>
        <scheme val="minor"/>
      </rPr>
      <t>39</t>
    </r>
    <r>
      <rPr>
        <b/>
        <sz val="10.5"/>
        <color rgb="FF626269"/>
        <rFont val="Franklin Gothic Medium"/>
        <family val="2"/>
        <scheme val="minor"/>
      </rPr>
      <t>,</t>
    </r>
    <r>
      <rPr>
        <b/>
        <sz val="10.5"/>
        <color rgb="FF3B2F42"/>
        <rFont val="Franklin Gothic Medium"/>
        <family val="2"/>
        <scheme val="minor"/>
      </rPr>
      <t xml:space="preserve">77
</t>
    </r>
  </si>
  <si>
    <t>Smart Empresas 1gb Ma,s</t>
  </si>
  <si>
    <r>
      <rPr>
        <b/>
        <sz val="10.5"/>
        <color rgb="FF3B2F42"/>
        <rFont val="Franklin Gothic Medium"/>
        <family val="2"/>
        <scheme val="minor"/>
      </rPr>
      <t>Smart Em</t>
    </r>
    <r>
      <rPr>
        <b/>
        <sz val="10.5"/>
        <color rgb="FF5D2A26"/>
        <rFont val="Franklin Gothic Medium"/>
        <family val="2"/>
        <scheme val="minor"/>
      </rPr>
      <t>p</t>
    </r>
    <r>
      <rPr>
        <b/>
        <sz val="10.5"/>
        <color rgb="FF46001A"/>
        <rFont val="Franklin Gothic Medium"/>
        <family val="2"/>
        <scheme val="minor"/>
      </rPr>
      <t>r</t>
    </r>
    <r>
      <rPr>
        <b/>
        <sz val="10.5"/>
        <color rgb="FF3B2F42"/>
        <rFont val="Franklin Gothic Medium"/>
        <family val="2"/>
        <scheme val="minor"/>
      </rPr>
      <t>esas 3g</t>
    </r>
    <r>
      <rPr>
        <b/>
        <sz val="10.5"/>
        <color rgb="FF5D2A26"/>
        <rFont val="Franklin Gothic Medium"/>
        <family val="2"/>
        <scheme val="minor"/>
      </rPr>
      <t xml:space="preserve">b </t>
    </r>
    <r>
      <rPr>
        <b/>
        <sz val="10.5"/>
        <color rgb="FF3B2F42"/>
        <rFont val="Franklin Gothic Medium"/>
        <family val="2"/>
        <scheme val="minor"/>
      </rPr>
      <t>Ma</t>
    </r>
    <r>
      <rPr>
        <b/>
        <vertAlign val="subscript"/>
        <sz val="16"/>
        <color rgb="FF008000"/>
        <rFont val="Franklin Gothic Medium"/>
        <family val="2"/>
        <scheme val="minor"/>
      </rPr>
      <t>,</t>
    </r>
    <r>
      <rPr>
        <b/>
        <sz val="10.5"/>
        <color rgb="FF3B2F42"/>
        <rFont val="Franklin Gothic Medium"/>
        <family val="2"/>
        <scheme val="minor"/>
      </rPr>
      <t>s</t>
    </r>
  </si>
  <si>
    <t>9299318-5820</t>
  </si>
  <si>
    <t>9299331-4967</t>
  </si>
  <si>
    <t>ONIAS/ALMOXARIFADO</t>
  </si>
  <si>
    <t>9299197-2423</t>
  </si>
  <si>
    <t>LEANDRO AUZIER</t>
  </si>
  <si>
    <t>9299356-0663</t>
  </si>
  <si>
    <t>GISLANE PAUXIS</t>
  </si>
  <si>
    <t>9299281-0860</t>
  </si>
  <si>
    <t>CASSIO</t>
  </si>
  <si>
    <t>31 9741-2555</t>
  </si>
  <si>
    <t>31 9074-5540</t>
  </si>
  <si>
    <t>Rodrigo Loures</t>
  </si>
  <si>
    <t>31 7184-3613</t>
  </si>
  <si>
    <t>Wilmara/Frank</t>
  </si>
  <si>
    <t>31 9877-7647</t>
  </si>
  <si>
    <t>Mauricio Gomes</t>
  </si>
  <si>
    <t>31 9863-9692</t>
  </si>
  <si>
    <t>Leandro Moura</t>
  </si>
  <si>
    <t>31 7141-9604</t>
  </si>
  <si>
    <t>Edilson</t>
  </si>
  <si>
    <t>31 9621-8684</t>
  </si>
  <si>
    <t>Joao Cabral</t>
  </si>
  <si>
    <t>31 9630-6011</t>
  </si>
  <si>
    <t>Encarregado 03</t>
  </si>
  <si>
    <t>31 9800-3442</t>
  </si>
  <si>
    <t>31 7228-5012</t>
  </si>
  <si>
    <t>Sergivaldo</t>
  </si>
  <si>
    <t>31 9829-0378</t>
  </si>
  <si>
    <t>Alexandre Pires</t>
  </si>
  <si>
    <t>31 9839-3235</t>
  </si>
  <si>
    <t>Pietro Araujo</t>
  </si>
  <si>
    <t>31 9906-0783</t>
  </si>
  <si>
    <t>Jefferson</t>
  </si>
  <si>
    <t>31 9787-2050</t>
  </si>
  <si>
    <t>Francielle Jales</t>
  </si>
  <si>
    <t>31 7139-1235</t>
  </si>
  <si>
    <t>Caio Vinicius</t>
  </si>
  <si>
    <t>31 9776-7639</t>
  </si>
  <si>
    <t>Sergio Santos</t>
  </si>
  <si>
    <t>31 7159-2187</t>
  </si>
  <si>
    <t>Gabriel Filipe</t>
  </si>
  <si>
    <t>31 9754-2203</t>
  </si>
  <si>
    <t>TST 04</t>
  </si>
  <si>
    <t>31 7205-9095</t>
  </si>
  <si>
    <t>Tamiris Moura</t>
  </si>
  <si>
    <t>31 9872-1777</t>
  </si>
  <si>
    <t>Fernanda Lopes</t>
  </si>
  <si>
    <t>Mecânico</t>
  </si>
  <si>
    <t>Encarregado 04</t>
  </si>
  <si>
    <t>31 9568-9781</t>
  </si>
  <si>
    <t>Encarregado Cleiton</t>
  </si>
  <si>
    <t>TST Cleiton</t>
  </si>
  <si>
    <t>CELULARES E CHIPS AVANÇO CONSTRUÇOES</t>
  </si>
  <si>
    <t xml:space="preserve">TELEFONE </t>
  </si>
  <si>
    <t xml:space="preserve">MARCA </t>
  </si>
  <si>
    <t>CEL-AVAN-20</t>
  </si>
  <si>
    <t xml:space="preserve">ONIAS </t>
  </si>
  <si>
    <t xml:space="preserve">ALMOX </t>
  </si>
  <si>
    <t>92 99331-4967</t>
  </si>
  <si>
    <t>CEL-AVAN-19</t>
  </si>
  <si>
    <t>EVANILDO BATALHA</t>
  </si>
  <si>
    <t xml:space="preserve">USINA </t>
  </si>
  <si>
    <t>92 99197-2423</t>
  </si>
  <si>
    <t>CEL-AVAN-05</t>
  </si>
  <si>
    <t xml:space="preserve">GISLANE PAUXIS </t>
  </si>
  <si>
    <t>92 99356-0663</t>
  </si>
  <si>
    <t>CEL-AVAN-18</t>
  </si>
  <si>
    <t>CEL-AVAN-02</t>
  </si>
  <si>
    <t>YOURI</t>
  </si>
  <si>
    <t>92 99534-1496</t>
  </si>
  <si>
    <t>CEL-AVAN-01</t>
  </si>
  <si>
    <t>92 99353-9450</t>
  </si>
  <si>
    <t>CEL-AVAN-03</t>
  </si>
  <si>
    <t>92 99266-4740</t>
  </si>
  <si>
    <t>CEL-AVAN-06</t>
  </si>
  <si>
    <t>VICTOR PALHETA</t>
  </si>
  <si>
    <t>POSSUI CHIP</t>
  </si>
  <si>
    <t>CEL-AVAN-07</t>
  </si>
  <si>
    <t>YAGO TEIXEIRA</t>
  </si>
  <si>
    <t>CEL-AVAN-04</t>
  </si>
  <si>
    <t>ALEILSON COSTA</t>
  </si>
  <si>
    <t>92 994890797</t>
  </si>
  <si>
    <t>CEL-AVAN-16</t>
  </si>
  <si>
    <t>SEM CHIP</t>
  </si>
  <si>
    <t>CEL-AVAN-08</t>
  </si>
  <si>
    <t>WELLINGTON ABENSUR</t>
  </si>
  <si>
    <t>CEL-AVAN-09</t>
  </si>
  <si>
    <t>AMANDA FREIRE</t>
  </si>
  <si>
    <t>RAPIDAO</t>
  </si>
  <si>
    <t>92 99327 4058</t>
  </si>
  <si>
    <t>CEL-AVAN-10</t>
  </si>
  <si>
    <t>EZIO FABA</t>
  </si>
  <si>
    <t>92 992661356</t>
  </si>
  <si>
    <t>CEL-AVAN-11</t>
  </si>
  <si>
    <t>PETTERSON BEZERRA</t>
  </si>
  <si>
    <t>CEL-AVAN-12</t>
  </si>
  <si>
    <t>ERICK ABREU</t>
  </si>
  <si>
    <t>92 99153-6509</t>
  </si>
  <si>
    <t>CEL-AVAN-13</t>
  </si>
  <si>
    <t xml:space="preserve">CRISTIAN ARAGAO </t>
  </si>
  <si>
    <t>CEL-AVAN-14</t>
  </si>
  <si>
    <t>CLEUDEMIR BRANDAO</t>
  </si>
  <si>
    <t>CEL-AVAN-15</t>
  </si>
  <si>
    <t>92 99281-0860</t>
  </si>
  <si>
    <t>CEL-AVAN-17</t>
  </si>
  <si>
    <t>MARCOS SILVA</t>
  </si>
  <si>
    <t>92 99187-0186</t>
  </si>
  <si>
    <t>CEL-AVAN-21</t>
  </si>
  <si>
    <t>92 99267-1542</t>
  </si>
  <si>
    <t>CEL-AVAN-22</t>
  </si>
  <si>
    <t>92 99427-9520</t>
  </si>
  <si>
    <t>CEL-AVAN-23</t>
  </si>
  <si>
    <t>92 99347-9038</t>
  </si>
  <si>
    <t>CEL-AVAN-24</t>
  </si>
  <si>
    <t>92 99411-9608</t>
  </si>
  <si>
    <t>CEL-AVAN-25</t>
  </si>
  <si>
    <t>92 99450-3451</t>
  </si>
  <si>
    <t>CEL-AVAN-26</t>
  </si>
  <si>
    <t>EWERTON</t>
  </si>
  <si>
    <t>92 99341-2925</t>
  </si>
  <si>
    <t>CEL-AVAN-27</t>
  </si>
  <si>
    <t xml:space="preserve">SHEILA </t>
  </si>
  <si>
    <t>92 99318-5820</t>
  </si>
  <si>
    <t>CEL-AVAN-28</t>
  </si>
  <si>
    <t xml:space="preserve">HECTOR REIS </t>
  </si>
  <si>
    <t xml:space="preserve">NAVEGAÇAO </t>
  </si>
  <si>
    <t>92 99348-0041</t>
  </si>
  <si>
    <t>CEL-AVAN-29</t>
  </si>
  <si>
    <t>SARAH PRISCILA</t>
  </si>
  <si>
    <t>92 99109-9445</t>
  </si>
  <si>
    <t>CEL-AVAN-31</t>
  </si>
  <si>
    <t>92 99458-7662</t>
  </si>
  <si>
    <t>CEL-AVAN-32</t>
  </si>
  <si>
    <t>92 99459-9207</t>
  </si>
  <si>
    <t xml:space="preserve">SOMENTE CHIP </t>
  </si>
  <si>
    <t>LUIS FELIPE</t>
  </si>
  <si>
    <t>92 99438-0359</t>
  </si>
  <si>
    <t>CEL-AVAN-33</t>
  </si>
  <si>
    <t>92 99313-0675</t>
  </si>
  <si>
    <t>CEL-AVAN-34</t>
  </si>
  <si>
    <t>92 99246 -8765</t>
  </si>
  <si>
    <t>CEL-AVAN-35</t>
  </si>
  <si>
    <t>CEL-AVAN-36</t>
  </si>
  <si>
    <t>CEL-AVAN-37</t>
  </si>
  <si>
    <t>CEL-AVAN-38</t>
  </si>
  <si>
    <t>92-99246-8765</t>
  </si>
  <si>
    <t>CEL-AVAN-39</t>
  </si>
  <si>
    <t>CEL-AVAN-40</t>
  </si>
  <si>
    <t>PORTARIA AVANÇO</t>
  </si>
  <si>
    <t xml:space="preserve">PORTARIA </t>
  </si>
  <si>
    <t>92 99451 8726</t>
  </si>
  <si>
    <t>CEL-AVAN-41</t>
  </si>
  <si>
    <t>92-99458-4860</t>
  </si>
  <si>
    <t>CEL-AVAN-42</t>
  </si>
  <si>
    <t>PILHAS AVANÇO CONSTRUÇOES</t>
  </si>
  <si>
    <t>PILHAS AA</t>
  </si>
  <si>
    <t>PILHAS AAA</t>
  </si>
  <si>
    <t>PARES</t>
  </si>
  <si>
    <t>QUANTIDADE PILHAS</t>
  </si>
  <si>
    <t>DESTINO</t>
  </si>
  <si>
    <t>DATA</t>
  </si>
  <si>
    <t>LUANA BARBOSA</t>
  </si>
  <si>
    <t>2 AA</t>
  </si>
  <si>
    <t>1 AA</t>
  </si>
  <si>
    <t>2 AAA</t>
  </si>
  <si>
    <t>KATIA REGINA</t>
  </si>
  <si>
    <t>MARCELO YAGO</t>
  </si>
  <si>
    <t>1 AAA</t>
  </si>
  <si>
    <t>ACESSOR DIRETORIA</t>
  </si>
  <si>
    <t>-----------</t>
  </si>
  <si>
    <t>CALCULADORA</t>
  </si>
  <si>
    <t>CONTROLE AR</t>
  </si>
  <si>
    <t xml:space="preserve">DEISE GARCIA </t>
  </si>
  <si>
    <t>VANESSA SOUSA</t>
  </si>
  <si>
    <t xml:space="preserve">ANGELICA COSTA </t>
  </si>
  <si>
    <t>4 AAA</t>
  </si>
  <si>
    <t>TRENA</t>
  </si>
  <si>
    <t>MOISES</t>
  </si>
  <si>
    <t>1AA</t>
  </si>
  <si>
    <t>1AAA</t>
  </si>
  <si>
    <t>ALEXANDRE</t>
  </si>
  <si>
    <t>CONTROLE  AR</t>
  </si>
  <si>
    <t>2AA</t>
  </si>
  <si>
    <t>senha dvr     :    @12122024</t>
  </si>
  <si>
    <t>email:   robson.martins@avancoconstrucoes.com.br</t>
  </si>
  <si>
    <t>palavras chaves:    interestelar 1     interestelar 2     interestelar 3</t>
  </si>
  <si>
    <t>senha padrao: L</t>
  </si>
  <si>
    <t>IP:10.1.10.48</t>
  </si>
  <si>
    <t>DVR INSTITUTO</t>
  </si>
  <si>
    <t>CAMERAS: 09</t>
  </si>
  <si>
    <t>IP: 192.168.2.106</t>
  </si>
  <si>
    <t>SENHA: Admin@2024</t>
  </si>
  <si>
    <t>INTELBRAS CLOUD</t>
  </si>
  <si>
    <t>Q1YL2501849YI</t>
  </si>
  <si>
    <t>DVR MHDX 3108-C ALOJAMENTO</t>
  </si>
  <si>
    <t>CAMERAS: 04</t>
  </si>
  <si>
    <t>Usuario: admin</t>
  </si>
  <si>
    <t>Senha: Admin@2024</t>
  </si>
  <si>
    <t>YK2M3501846XG</t>
  </si>
  <si>
    <t>AVANCO ANTIGO</t>
  </si>
  <si>
    <t>SENHA: Admin123</t>
  </si>
  <si>
    <t>3K9M2500707W2</t>
  </si>
  <si>
    <t>DVR MHDX 3016-C ESTALEIRO</t>
  </si>
  <si>
    <t>IP:192.168.2.228</t>
  </si>
  <si>
    <t>USUARIO: lucas</t>
  </si>
  <si>
    <t>SENHA: Lu@813994</t>
  </si>
  <si>
    <t>ID CLOUD: E32J3002483LZ</t>
  </si>
  <si>
    <t>AVANÇO MANAUS</t>
  </si>
  <si>
    <t>DVR iMHDX 3132 AVANCO</t>
  </si>
  <si>
    <t>CAMERAS: 24</t>
  </si>
  <si>
    <t>USUARIO: admin</t>
  </si>
  <si>
    <t>SENHA: @12122024avanco</t>
  </si>
  <si>
    <t>ID CLOUD: DXF0002629464</t>
  </si>
  <si>
    <r>
      <t xml:space="preserve">CAMERAS IP: </t>
    </r>
    <r>
      <rPr>
        <sz val="11"/>
        <color rgb="FF00B050"/>
        <rFont val="Franklin Gothic Medium"/>
        <family val="2"/>
        <scheme val="minor"/>
      </rPr>
      <t>192.168.2.89</t>
    </r>
  </si>
  <si>
    <t>Login: sjah</t>
  </si>
  <si>
    <t>Senha: f6mhxc</t>
  </si>
  <si>
    <r>
      <t xml:space="preserve">CAMERA IP: </t>
    </r>
    <r>
      <rPr>
        <sz val="11"/>
        <color rgb="FF00B050"/>
        <rFont val="Franklin Gothic Medium"/>
        <family val="2"/>
        <scheme val="minor"/>
      </rPr>
      <t>192.168.2.90</t>
    </r>
  </si>
  <si>
    <t>Login: xbyt</t>
  </si>
  <si>
    <t>Senha: Casa@2024</t>
  </si>
  <si>
    <t>Login: fmas</t>
  </si>
  <si>
    <t>Senha: 7nb3nh</t>
  </si>
  <si>
    <t>Controle VTN 2000G2</t>
  </si>
  <si>
    <t>Senha: Admin1212</t>
  </si>
  <si>
    <t>SPED DOMER INTELBRAS</t>
  </si>
  <si>
    <t>IP: 192.168.2.240</t>
  </si>
  <si>
    <t>Login: admin</t>
  </si>
  <si>
    <t>Senha: @12122024avanco</t>
  </si>
  <si>
    <t>ID Cloud: 6LMM2500107F0</t>
  </si>
  <si>
    <t>DVR HIKVISION  DS7616N1-K2 16 CANAIS</t>
  </si>
  <si>
    <t>CAMERAS: 01</t>
  </si>
  <si>
    <t>user: admin</t>
  </si>
  <si>
    <t>senha: @12122024avanco</t>
  </si>
  <si>
    <t>SPEED DOMER HIK</t>
  </si>
  <si>
    <t>ROTEADOR INTELBRAS AURORA</t>
  </si>
  <si>
    <t>SENHA WIFI: Aurora@2025</t>
  </si>
  <si>
    <t>CAMERAS PROSAI</t>
  </si>
  <si>
    <t>MIBOCAM EMAIL: t.i@avancoconstrucoes.com.br</t>
  </si>
  <si>
    <t>CLOUD INTELBRAS</t>
  </si>
  <si>
    <t>usuario: t.i@avavncoconstrucoes.com.br</t>
  </si>
  <si>
    <t>senha: @12122024Avanco</t>
  </si>
  <si>
    <t>BH</t>
  </si>
  <si>
    <t>Serial: DRL0004505014</t>
  </si>
  <si>
    <t>Senha: Maxcom@2025</t>
  </si>
  <si>
    <t>DVR CARATINGA</t>
  </si>
  <si>
    <t>Q1YL25014030S</t>
  </si>
  <si>
    <t>lucas lima</t>
  </si>
  <si>
    <t>@12122024avanco</t>
  </si>
  <si>
    <t>ITABIRA</t>
  </si>
  <si>
    <t>N° Serie: GNSL34020158N</t>
  </si>
  <si>
    <t>Usuario: avanco0179</t>
  </si>
  <si>
    <t>Senha: avanco@0179</t>
  </si>
  <si>
    <t>IPATINGA</t>
  </si>
  <si>
    <t>2YML37005813M</t>
  </si>
  <si>
    <t>lucas</t>
  </si>
  <si>
    <t>Lc132435</t>
  </si>
  <si>
    <t>Gmail: DRIVE DO GOOGLE .</t>
  </si>
  <si>
    <t>avancoconstrucoes2024@gmail.com</t>
  </si>
  <si>
    <t>Hotmail: avancoconstrucoes2024@hotmail.com</t>
  </si>
  <si>
    <t>Senha: Apre@123</t>
  </si>
  <si>
    <t>energia.spe.sa@gmail.com</t>
  </si>
  <si>
    <t>senha: energia2024</t>
  </si>
  <si>
    <t>auraambiental.sa@gmail.com</t>
  </si>
  <si>
    <t>avancomix@gmail.com</t>
  </si>
  <si>
    <t>senha: mix@2024</t>
  </si>
  <si>
    <t>aurora.loc.sa@gmail.com</t>
  </si>
  <si>
    <t>senha: aurora2024</t>
  </si>
  <si>
    <t>holding.lacn@gmail.com</t>
  </si>
  <si>
    <t>senha: lacn2024</t>
  </si>
  <si>
    <t>fazenda.samauma.ltda@gmail.com</t>
  </si>
  <si>
    <t>senha: fazenda2024</t>
  </si>
  <si>
    <t>naveg.aurora@gmail.com</t>
  </si>
  <si>
    <t>senha: Nav123@10</t>
  </si>
  <si>
    <t>meridian.financeira@gmail.com</t>
  </si>
  <si>
    <t>senha :meridian@2025</t>
  </si>
  <si>
    <t>auraambiental@gmail.com</t>
  </si>
  <si>
    <t>estaleiro.aurora@gmail.com</t>
  </si>
  <si>
    <t>Esta2025</t>
  </si>
  <si>
    <t>https://www.jusbrasil.com.br/acompanhamentos/processos</t>
  </si>
  <si>
    <r>
      <t>usuário:</t>
    </r>
    <r>
      <rPr>
        <sz val="11"/>
        <color rgb="FF262626"/>
        <rFont val="Franklin Gothic Medium"/>
        <family val="2"/>
        <scheme val="minor"/>
      </rPr>
      <t xml:space="preserve"> contratos@avancoconstrucoes.com.br</t>
    </r>
  </si>
  <si>
    <r>
      <t>senha:</t>
    </r>
    <r>
      <rPr>
        <sz val="11"/>
        <color rgb="FF262626"/>
        <rFont val="Franklin Gothic Medium"/>
        <family val="2"/>
        <scheme val="minor"/>
      </rPr>
      <t xml:space="preserve"> Avanco123!</t>
    </r>
  </si>
  <si>
    <t>CONTA MIMBO SMART</t>
  </si>
  <si>
    <t>residenciaconde@outlook.com</t>
  </si>
  <si>
    <t>Conde@2026</t>
  </si>
  <si>
    <t>CHAVE DE ACESSO</t>
  </si>
  <si>
    <t>senha: conde@2024</t>
  </si>
  <si>
    <t>EMAIL- GITHUB</t>
  </si>
  <si>
    <t>t.i@avancoconstrucoes.com.br</t>
  </si>
  <si>
    <t>SENHA:@12122024avanco</t>
  </si>
  <si>
    <t>SAP : B1SiteUser</t>
  </si>
  <si>
    <t xml:space="preserve"> WIFI ESCRITORIO MINAS</t>
  </si>
  <si>
    <t>Rede: AVANCO FILIAL</t>
  </si>
  <si>
    <t>Senha: AVANCO255</t>
  </si>
  <si>
    <t>ROTEADOR BH</t>
  </si>
  <si>
    <t>192.168.15.58</t>
  </si>
  <si>
    <t>SENHA: Maxcom@2025</t>
  </si>
  <si>
    <t>Informações da rede de internet de Caratinga</t>
  </si>
  <si>
    <t>Nome:AVANCO</t>
  </si>
  <si>
    <t>SENHA:25132025</t>
  </si>
  <si>
    <t>ACESSO AO MODEM</t>
  </si>
  <si>
    <t>AdminGPON</t>
  </si>
  <si>
    <t>SENHA: LYiNSfuC</t>
  </si>
  <si>
    <t>WIFI AVANCO 5.0
Avanco12@</t>
  </si>
  <si>
    <t>InControl</t>
  </si>
  <si>
    <t>banco integração</t>
  </si>
  <si>
    <t>SAP-AVANCO-INT\SQLPORTALCSC</t>
  </si>
  <si>
    <t>login: sa</t>
  </si>
  <si>
    <t>senha: A@avanco1212</t>
  </si>
  <si>
    <t>Email: t.i@avancoconstrucoes.com.br</t>
  </si>
  <si>
    <t>Nome completo</t>
  </si>
  <si>
    <t>Cargo</t>
  </si>
  <si>
    <t xml:space="preserve">Lote </t>
  </si>
  <si>
    <t>EMPRESA</t>
  </si>
  <si>
    <t>Data admissão</t>
  </si>
  <si>
    <t>Data nascimento</t>
  </si>
  <si>
    <t>CPF</t>
  </si>
  <si>
    <t>RG</t>
  </si>
  <si>
    <t xml:space="preserve">CNH </t>
  </si>
  <si>
    <t>E-mail</t>
  </si>
  <si>
    <t>Telefone</t>
  </si>
  <si>
    <t>Endereço</t>
  </si>
  <si>
    <t>PERÍODO EXPERIÊNCIA</t>
  </si>
  <si>
    <t>DIAS TRABALHADOS</t>
  </si>
  <si>
    <t>TELEFONE CORPORATIVO</t>
  </si>
  <si>
    <t>Alexandre Pires da Costa</t>
  </si>
  <si>
    <t xml:space="preserve">Vistoriador </t>
  </si>
  <si>
    <t>Lote 07</t>
  </si>
  <si>
    <t>AVANÇO</t>
  </si>
  <si>
    <t>035.433.757-25</t>
  </si>
  <si>
    <t>B</t>
  </si>
  <si>
    <r>
      <t>alexandre</t>
    </r>
    <r>
      <rPr>
        <sz val="10"/>
        <color rgb="FF6B5B66"/>
        <rFont val="Nunito"/>
      </rPr>
      <t>piresdacosta16@gmail.com</t>
    </r>
  </si>
  <si>
    <t>31 99829-0378</t>
  </si>
  <si>
    <t xml:space="preserve">Adamor Romillio Junior </t>
  </si>
  <si>
    <t>057.714.697-18</t>
  </si>
  <si>
    <t>D</t>
  </si>
  <si>
    <t>juniorromillio@gmail.com</t>
  </si>
  <si>
    <t>34 98423-1597</t>
  </si>
  <si>
    <t xml:space="preserve">Anderson Luiz da Silva </t>
  </si>
  <si>
    <t xml:space="preserve">Tecnico Segurança </t>
  </si>
  <si>
    <t>Lote 05</t>
  </si>
  <si>
    <t>141.018.477-38</t>
  </si>
  <si>
    <t>andersonluizdasilva73@gmail.com</t>
  </si>
  <si>
    <t>31 996505097</t>
  </si>
  <si>
    <t>31 99776-7639</t>
  </si>
  <si>
    <t xml:space="preserve">Caio Vinicius Sabino da Ressurreição </t>
  </si>
  <si>
    <t>090.787.016-33</t>
  </si>
  <si>
    <r>
      <t>caio</t>
    </r>
    <r>
      <rPr>
        <sz val="10"/>
        <color rgb="FF6B5B66"/>
        <rFont val="Nunito"/>
      </rPr>
      <t>13vsr@gmail.com</t>
    </r>
  </si>
  <si>
    <t>31 97139-1235</t>
  </si>
  <si>
    <t>Cristian Rodrigues Reis</t>
  </si>
  <si>
    <t>ADM</t>
  </si>
  <si>
    <t>31 99517-0831</t>
  </si>
  <si>
    <t>Edilson Ferreira Rocha</t>
  </si>
  <si>
    <t>Engenheiro</t>
  </si>
  <si>
    <t>31 97141-9604</t>
  </si>
  <si>
    <t xml:space="preserve">Fernanda Lopes de Sa </t>
  </si>
  <si>
    <t>Analista DP</t>
  </si>
  <si>
    <t>089.734.396-42</t>
  </si>
  <si>
    <r>
      <t>fernanda</t>
    </r>
    <r>
      <rPr>
        <sz val="10"/>
        <color rgb="FF6B5B66"/>
        <rFont val="Nunito"/>
      </rPr>
      <t>.lopes@avancoconstrucoes.com.br</t>
    </r>
  </si>
  <si>
    <t>31 99937-1912</t>
  </si>
  <si>
    <t xml:space="preserve">Francielle Mucida Bratiliere Jales </t>
  </si>
  <si>
    <t xml:space="preserve">Lider de Segurança </t>
  </si>
  <si>
    <t>092.216.396-06</t>
  </si>
  <si>
    <r>
      <t>fran</t>
    </r>
    <r>
      <rPr>
        <sz val="10"/>
        <color rgb="FF6B5B66"/>
        <rFont val="Nunito"/>
      </rPr>
      <t>bjales@gmail.com</t>
    </r>
  </si>
  <si>
    <t>31 99787-2050</t>
  </si>
  <si>
    <t>Analista de Engenharia</t>
  </si>
  <si>
    <t>31 99074-5540</t>
  </si>
  <si>
    <t xml:space="preserve">Gabriel Filipe da Silva </t>
  </si>
  <si>
    <t>137.175.866-29</t>
  </si>
  <si>
    <t>gabrielfilipedasilva21@gmail.com</t>
  </si>
  <si>
    <t>31 97159-2187</t>
  </si>
  <si>
    <t xml:space="preserve">Jefferson Luiz de Souza Lima </t>
  </si>
  <si>
    <t>141.300.607-83</t>
  </si>
  <si>
    <r>
      <t>avanco</t>
    </r>
    <r>
      <rPr>
        <b/>
        <sz val="10"/>
        <color rgb="FF6B5B66"/>
        <rFont val="Nunito"/>
      </rPr>
      <t>jeff</t>
    </r>
    <r>
      <rPr>
        <sz val="10"/>
        <color rgb="FF6B5B66"/>
        <rFont val="Nunito"/>
      </rPr>
      <t>erson@gmail.com</t>
    </r>
  </si>
  <si>
    <t>31 99906-0783</t>
  </si>
  <si>
    <t xml:space="preserve">Jose Fernando de Sousa Lima Freire </t>
  </si>
  <si>
    <t xml:space="preserve">Encarregado </t>
  </si>
  <si>
    <t>175.463.987-97</t>
  </si>
  <si>
    <t>fernandofreire905@gmail.com</t>
  </si>
  <si>
    <t>31 99630-6011</t>
  </si>
  <si>
    <t xml:space="preserve">Leandro Henrique Milagre de Moura </t>
  </si>
  <si>
    <t xml:space="preserve">Analista Logistica </t>
  </si>
  <si>
    <t>089.423.546-02</t>
  </si>
  <si>
    <r>
      <t>leandro</t>
    </r>
    <r>
      <rPr>
        <sz val="10"/>
        <color rgb="FF6B5B66"/>
        <rFont val="Nunito"/>
      </rPr>
      <t>.henrique_moura@hotmail.com</t>
    </r>
  </si>
  <si>
    <t>31 99863-9692</t>
  </si>
  <si>
    <t xml:space="preserve">Leandro Rocha Silva </t>
  </si>
  <si>
    <t>Gerente de Operações</t>
  </si>
  <si>
    <t>044.123.236-17</t>
  </si>
  <si>
    <t>leandro.rocha@avancoconstrucoes.com.br</t>
  </si>
  <si>
    <t xml:space="preserve">31 97157-3033 </t>
  </si>
  <si>
    <t>31 99741-2555</t>
  </si>
  <si>
    <t>31 99877-7647</t>
  </si>
  <si>
    <t xml:space="preserve">Milena Lessa Queiroz </t>
  </si>
  <si>
    <t>AJR</t>
  </si>
  <si>
    <t>034.129.365-29</t>
  </si>
  <si>
    <t>milenna111@hotmail.com</t>
  </si>
  <si>
    <t>31 99754-2203</t>
  </si>
  <si>
    <t xml:space="preserve">Pablo Henrique Gomes Braga </t>
  </si>
  <si>
    <t>126.140.167-05</t>
  </si>
  <si>
    <t>pablohenrique86@yahoo.com</t>
  </si>
  <si>
    <t>21 99612-6556</t>
  </si>
  <si>
    <t>31 97135-5917</t>
  </si>
  <si>
    <t xml:space="preserve">Rafael Junio Vitorino Rosa </t>
  </si>
  <si>
    <t>069.946.136-74</t>
  </si>
  <si>
    <t>E</t>
  </si>
  <si>
    <r>
      <t>ra</t>
    </r>
    <r>
      <rPr>
        <sz val="10"/>
        <color rgb="FF6B5B66"/>
        <rFont val="Nunito"/>
      </rPr>
      <t>fajvitorino@hotmail.com</t>
    </r>
  </si>
  <si>
    <t>31 99568-9781</t>
  </si>
  <si>
    <t>Raissa Dominique Nontato Trindade Medeiros de Souza</t>
  </si>
  <si>
    <t>703.907.686-18</t>
  </si>
  <si>
    <r>
      <t>ra</t>
    </r>
    <r>
      <rPr>
        <sz val="10"/>
        <color rgb="FF6B5B66"/>
        <rFont val="Nunito"/>
      </rPr>
      <t>issadominique1704@gmail.com</t>
    </r>
  </si>
  <si>
    <t>31 99872-1777</t>
  </si>
  <si>
    <t xml:space="preserve">Sergivaldo Bezerra da Silva </t>
  </si>
  <si>
    <t>758.174.203-25</t>
  </si>
  <si>
    <r>
      <t>sergi</t>
    </r>
    <r>
      <rPr>
        <sz val="10"/>
        <color rgb="FF6B5B66"/>
        <rFont val="Nunito"/>
      </rPr>
      <t>valdob_7@hotmail.com</t>
    </r>
  </si>
  <si>
    <t>31 97228-5012</t>
  </si>
  <si>
    <t xml:space="preserve">Valney Santana da Silva Junior </t>
  </si>
  <si>
    <t>015.834.665-33</t>
  </si>
  <si>
    <t>santanajuniorvv@gmail.com</t>
  </si>
  <si>
    <t>31 99800-3442</t>
  </si>
  <si>
    <t>NOTEBOOKS</t>
  </si>
  <si>
    <t>JOSÉ PERIN</t>
  </si>
  <si>
    <t>PRO</t>
  </si>
  <si>
    <t>Projetos</t>
  </si>
  <si>
    <t>LOGISTIC</t>
  </si>
  <si>
    <t>Analista Eng.</t>
  </si>
  <si>
    <t>Logística</t>
  </si>
  <si>
    <t>AVENIL MOREIRA</t>
  </si>
  <si>
    <t>Campo</t>
  </si>
  <si>
    <t>SSO</t>
  </si>
  <si>
    <t>Raíssa</t>
  </si>
  <si>
    <t>FRANK MOREIRA</t>
  </si>
  <si>
    <t>LEANDRO ROCHA</t>
  </si>
  <si>
    <t>TST BH</t>
  </si>
  <si>
    <t>ADAMOR</t>
  </si>
  <si>
    <t>SMARTPHONES</t>
  </si>
  <si>
    <t>NUMERO</t>
  </si>
  <si>
    <t>SMARTPHONE</t>
  </si>
  <si>
    <t>XIAOMI</t>
  </si>
  <si>
    <t xml:space="preserve">REDMI A5 </t>
  </si>
  <si>
    <t>4GB RAM 128GB ROM</t>
  </si>
  <si>
    <t>Dharyo Richter</t>
  </si>
  <si>
    <t>REDMI note 14</t>
  </si>
  <si>
    <t>8GB RAM 256GB ROM</t>
  </si>
  <si>
    <t>Gabriel</t>
  </si>
  <si>
    <t>Frota</t>
  </si>
  <si>
    <t>Sergivaldo Bezerra</t>
  </si>
  <si>
    <t>MINAS-07</t>
  </si>
  <si>
    <t xml:space="preserve">Valney Santana </t>
  </si>
  <si>
    <t>MINAS-05</t>
  </si>
  <si>
    <t>MONITORES</t>
  </si>
  <si>
    <t>Carlos Scheneider</t>
  </si>
  <si>
    <t>Wilmara Duque</t>
  </si>
  <si>
    <t>Projeto</t>
  </si>
  <si>
    <t>ZWCAD</t>
  </si>
  <si>
    <t>VALOR:</t>
  </si>
  <si>
    <t>Licença temporária: UG37-867Q-HXJH-3ZKW-8552-WK4Z</t>
  </si>
  <si>
    <t>Licença permanente: KP7N-LSWQ-2RM3-7P27-NZXB-9XHX (já ativa)</t>
  </si>
  <si>
    <t>Licença temporária: ACZD-VWXT-MZ4E-FMYU-6MBR-A7G8</t>
  </si>
  <si>
    <t>Licença permanente: SBSB-YCF9-4SN5-GE8T-A3CA-Z3K5 (já ativa)</t>
  </si>
  <si>
    <t>Licença temporária: Y8SQ-RU3B-GUGX-6QTT-JZFW-Q28Y</t>
  </si>
  <si>
    <r>
      <rPr>
        <sz val="11"/>
        <color rgb="FF262626"/>
        <rFont val="Franklin Gothic Medium"/>
      </rPr>
      <t xml:space="preserve">Licença permanente: PRXF-UT44-VCSZ-2UGZ-XGGV-2D4J        </t>
    </r>
    <r>
      <rPr>
        <sz val="11"/>
        <color rgb="FF00B050"/>
        <rFont val="Franklin Gothic Medium"/>
      </rPr>
      <t xml:space="preserve"> </t>
    </r>
  </si>
  <si>
    <t>Licença temporária: 54MC-MPG2-GFZP-D5PB-YTVQ-NYDU</t>
  </si>
  <si>
    <t>Licença permanente: 4NUS-3QUL-CBBX-9ZRH-TDKU-2EBM (já ativa)</t>
  </si>
  <si>
    <t>Licença temporária: Q5RH-KERC-UM8F-NUD5-RPHK-CKTH</t>
  </si>
  <si>
    <t>Licença permanente: UVXY-GC7C-F8G9-DW5K-QEQN-4453 (já ativa)</t>
  </si>
  <si>
    <t xml:space="preserve">  </t>
  </si>
  <si>
    <r>
      <t xml:space="preserve">Licença permanente: 2VQU-UPXV-CJNS-N8JL-P9RC-85LV    (já ativa)  </t>
    </r>
    <r>
      <rPr>
        <sz val="11"/>
        <color rgb="FF00B050"/>
        <rFont val="Franklin Gothic Medium"/>
        <family val="2"/>
        <scheme val="minor"/>
      </rPr>
      <t xml:space="preserve"> </t>
    </r>
  </si>
  <si>
    <t>licença permanente :H7RT-LHNU-4PFH-KPD7-RUE5-VKUZ</t>
  </si>
  <si>
    <t>versão 2026</t>
  </si>
  <si>
    <t>licença permanente :MDAU-6Z9X-S3X7-MTHY-WVED-W79J</t>
  </si>
  <si>
    <t>MAURO</t>
  </si>
  <si>
    <t>AUTOCAD</t>
  </si>
  <si>
    <t>KATIA REGINA MOREIRA GUIMARAES</t>
  </si>
  <si>
    <t>CARLOS AUGUSTO RAMOS DE CARVALHO JUNIOR</t>
  </si>
  <si>
    <t>MARIA EDUARDA BALIEIRO</t>
  </si>
  <si>
    <t>V-RAY</t>
  </si>
  <si>
    <t>SKETCHUP</t>
  </si>
  <si>
    <t xml:space="preserve">                                       Hostgator </t>
  </si>
  <si>
    <t xml:space="preserve"> https://cliente.hostgator.com.br/sites</t>
  </si>
  <si>
    <t xml:space="preserve">
usuário: avancoconstrucoesecomercio@hotmail.com
Senha: Avanco@@2025
 </t>
  </si>
  <si>
    <t>EMAIL ATRIBUIDO AO SITE AVANÇO (WORDPRESS)</t>
  </si>
  <si>
    <t>admin@avancoconstrucao.com.br</t>
  </si>
  <si>
    <t>https://avancoconstrucao.com.br/wp-admin/edit.php?post_type=page</t>
  </si>
  <si>
    <t>usuário: admin</t>
  </si>
  <si>
    <t>senha: R^$nbrAmaefVohnSM85C@7^#</t>
  </si>
  <si>
    <t xml:space="preserve">                                     Registro Br</t>
  </si>
  <si>
    <r>
      <rPr>
        <sz val="11"/>
        <color rgb="FF262626"/>
        <rFont val="Franklin Gothic Medium"/>
        <scheme val="minor"/>
      </rPr>
      <t xml:space="preserve">                     </t>
    </r>
    <r>
      <rPr>
        <sz val="11"/>
        <color rgb="FF335C30"/>
        <rFont val="Franklin Gothic Medium"/>
        <scheme val="minor"/>
      </rPr>
      <t xml:space="preserve">  https://registro.br/login/</t>
    </r>
  </si>
  <si>
    <t>Usuário: LACNE45
Senha : Avanco2024</t>
  </si>
  <si>
    <t>linkedin</t>
  </si>
  <si>
    <t>corporativo@avancoconstrucoes.com.br</t>
  </si>
  <si>
    <t>senha: @avancosa</t>
  </si>
  <si>
    <t>SAP : B1SiteUser
Usuário: B1SiteUser
Senha: @DIIb4#6qcyZgX_</t>
  </si>
  <si>
    <t>SAP : Partner
Usuário: Partner
Senha: @DIIb4#6qcyZgX_</t>
  </si>
  <si>
    <t>Usuario Master Banco Hana Homologação.</t>
  </si>
  <si>
    <t>User Name: hdbadm</t>
  </si>
  <si>
    <t>user id: 1001</t>
  </si>
  <si>
    <t>user group: 79</t>
  </si>
  <si>
    <t>directory: /usr/sap/HDB/home</t>
  </si>
  <si>
    <t>Usuario System do Banco Hana Homologação.</t>
  </si>
  <si>
    <t>User Name: System</t>
  </si>
  <si>
    <t>Sapadm Banco Hana Homologação</t>
  </si>
  <si>
    <t>User Name: sapadm</t>
  </si>
  <si>
    <t>Usuario Banco Hana</t>
  </si>
  <si>
    <t>User Namer: SYSTEM</t>
  </si>
  <si>
    <t>Senha: @Dllb4#6qcyZgX_</t>
  </si>
  <si>
    <t>USUARIO PORTAL SAP: S0023489412</t>
  </si>
  <si>
    <t>SENHA: Sap@2024</t>
  </si>
  <si>
    <t>SERVIDOR:</t>
  </si>
  <si>
    <t>IP: 204.216.175.191:50491</t>
  </si>
  <si>
    <t>USUARIO: partner</t>
  </si>
  <si>
    <t>SENHA: @DIIb4#6qcyZgX_</t>
  </si>
  <si>
    <t>usuario sap</t>
  </si>
  <si>
    <t>manager</t>
  </si>
  <si>
    <t>Av@nc0@2023</t>
  </si>
  <si>
    <t xml:space="preserve">Sql Server Management Studio </t>
  </si>
  <si>
    <t>Login: sa</t>
  </si>
  <si>
    <t>Senha: avanco@2024</t>
  </si>
  <si>
    <t>ACESSO PORTAL VIVO</t>
  </si>
  <si>
    <t>https://mve.vivo.com.br/sec/gestao-chips</t>
  </si>
  <si>
    <t>Avanco@2025</t>
  </si>
  <si>
    <t>https://manage.autodesk.com/home</t>
  </si>
  <si>
    <t>robson.martins@avancoconstrucoes.com.br</t>
  </si>
  <si>
    <t>https://adminconsole.adobe.com/</t>
  </si>
  <si>
    <t>Target Normas: Busca e acesso de normas ABNT NBR Mercosul</t>
  </si>
  <si>
    <t>senha: @1212Avan</t>
  </si>
  <si>
    <t>Comparação de licenças SAP Business One</t>
  </si>
  <si>
    <t xml:space="preserve"> Module</t>
  </si>
  <si>
    <t xml:space="preserve"> Functionality</t>
  </si>
  <si>
    <t xml:space="preserve">Starter Package User </t>
  </si>
  <si>
    <t>Professional</t>
  </si>
  <si>
    <t>Limited - Logistics</t>
  </si>
  <si>
    <t>Limited - Financials</t>
  </si>
  <si>
    <t>Administração</t>
  </si>
  <si>
    <t>Criar empresa</t>
  </si>
  <si>
    <t> Completo</t>
  </si>
  <si>
    <t>Selecionar empresa</t>
  </si>
  <si>
    <t>Taxa de cambio e indices</t>
  </si>
  <si>
    <t>Inicialização do sistema</t>
  </si>
  <si>
    <t>Configurações gerais</t>
  </si>
  <si>
    <t>Alterar senha</t>
  </si>
  <si>
    <t>Configuração de finanças</t>
  </si>
  <si>
    <t>Configuração de oportunidade de vendas</t>
  </si>
  <si>
    <t>Configuração de compras</t>
  </si>
  <si>
    <t>Configuração de parceiros de negócios</t>
  </si>
  <si>
    <t>Configuração de condição de pagamento</t>
  </si>
  <si>
    <t>Configuração de bancos</t>
  </si>
  <si>
    <t>Configuração de estoque</t>
  </si>
  <si>
    <t>Configuração de localização de estoque</t>
  </si>
  <si>
    <t>Configuração de recursos</t>
  </si>
  <si>
    <t>Configuração de serviços</t>
  </si>
  <si>
    <t>Importação e exportação de dados</t>
  </si>
  <si>
    <t>Utilitários</t>
  </si>
  <si>
    <t>Procedimentos de Aprovação (Níveis, Modelos)</t>
  </si>
  <si>
    <t>Procedimentos de Aprovação (Relatórios)</t>
  </si>
  <si>
    <t>Administração de licenças</t>
  </si>
  <si>
    <t>Administrador de addon</t>
  </si>
  <si>
    <t>Administração de addon</t>
  </si>
  <si>
    <t>Administração de alertas</t>
  </si>
  <si>
    <t>Administração de Workflow</t>
  </si>
  <si>
    <t xml:space="preserve"> Workflow Instância, Worklist e Rastreamento</t>
  </si>
  <si>
    <t>Finanças</t>
  </si>
  <si>
    <t>Plano de contas</t>
  </si>
  <si>
    <t>Editar plano de contas</t>
  </si>
  <si>
    <t>Lançamento contábil manual</t>
  </si>
  <si>
    <t>Pré-lançamentos contábeis</t>
  </si>
  <si>
    <t xml:space="preserve"> Posting Templates &amp; Recurring Postings</t>
  </si>
  <si>
    <t>Reversão de lançamento contábil</t>
  </si>
  <si>
    <t>Diferenças de taxa de câmbio</t>
  </si>
  <si>
    <t>Diferenças de conversão</t>
  </si>
  <si>
    <t>Modelos relatórios financeiros</t>
  </si>
  <si>
    <t>Impressão de Documentos em Lote</t>
  </si>
  <si>
    <t>Resumo diário da impressora fiscal</t>
  </si>
  <si>
    <t>Ativos fixos</t>
  </si>
  <si>
    <t>Reconciliação interna</t>
  </si>
  <si>
    <t>Configuração do orçamento</t>
  </si>
  <si>
    <t>Contabilidade de custos</t>
  </si>
  <si>
    <t>Relatórios financeiros</t>
  </si>
  <si>
    <t xml:space="preserve"> CRM</t>
  </si>
  <si>
    <t>Cadastro de parceiro de negócios</t>
  </si>
  <si>
    <t>Atividades</t>
  </si>
  <si>
    <t>Gerador de campanhas</t>
  </si>
  <si>
    <t>Campanhas</t>
  </si>
  <si>
    <t>Oportunidade de vendas</t>
  </si>
  <si>
    <t>Cotação de vendas</t>
  </si>
  <si>
    <t> Somente leitura</t>
  </si>
  <si>
    <t>Pedido de vendas</t>
  </si>
  <si>
    <t>Relatórios e Dashboards</t>
  </si>
  <si>
    <t>Relatórios de oportunidades</t>
  </si>
  <si>
    <t>Vendas</t>
  </si>
  <si>
    <t>Contrato guarda-chuva</t>
  </si>
  <si>
    <t>Entrega</t>
  </si>
  <si>
    <t>Pedido de devolução</t>
  </si>
  <si>
    <t>Devolução</t>
  </si>
  <si>
    <t>Adiantamento de cliente</t>
  </si>
  <si>
    <t>Nota fiscal de saída</t>
  </si>
  <si>
    <t>Nota fiscal de saída + pagamento</t>
  </si>
  <si>
    <t>Devolução de nota fiscal de saída</t>
  </si>
  <si>
    <t>Nota fiscal de entrega futura</t>
  </si>
  <si>
    <t>Assistente de geração de documentos</t>
  </si>
  <si>
    <t>Transações recorrentes</t>
  </si>
  <si>
    <t xml:space="preserve">Assistente de advertência </t>
  </si>
  <si>
    <t>Relatórios de vendas</t>
  </si>
  <si>
    <t>Contrato guarda-chuva de compra</t>
  </si>
  <si>
    <t>Solicitação de compra</t>
  </si>
  <si>
    <t>Oferta de compra</t>
  </si>
  <si>
    <t>Pedido de compra</t>
  </si>
  <si>
    <t>Recebimento de mercadorias</t>
  </si>
  <si>
    <t>Pedido de solicitação de mercadorias</t>
  </si>
  <si>
    <t>Devolução de mercadorias</t>
  </si>
  <si>
    <t>Fatura de adiantamento de contas a pagar</t>
  </si>
  <si>
    <t>Nota Fiscal de Entrada</t>
  </si>
  <si>
    <t>Devolução de nota fiscal de entrada</t>
  </si>
  <si>
    <t>NF Recebimento Futuro</t>
  </si>
  <si>
    <t>Apropriação de custo</t>
  </si>
  <si>
    <t>Assistente de confirmação de compra</t>
  </si>
  <si>
    <t> Parcial (*2)</t>
  </si>
  <si>
    <t>Assistente de criação de ofertas de compra</t>
  </si>
  <si>
    <t>Relatórios de compras</t>
  </si>
  <si>
    <t>Parceiro de negócios</t>
  </si>
  <si>
    <t>Cadastro do parceiro de negócios</t>
  </si>
  <si>
    <t>Atividade</t>
  </si>
  <si>
    <t>Assistente de geração de campanha</t>
  </si>
  <si>
    <t>Campanha</t>
  </si>
  <si>
    <t>Reconciliações internas</t>
  </si>
  <si>
    <t>Relatórios do parceiro de negócios</t>
  </si>
  <si>
    <t>Banco</t>
  </si>
  <si>
    <t>Contas a receber</t>
  </si>
  <si>
    <t>Depósitos</t>
  </si>
  <si>
    <t>Contas a pagar</t>
  </si>
  <si>
    <t>Assistente de pagamento</t>
  </si>
  <si>
    <t>Extratos bancários e reconciliações externas</t>
  </si>
  <si>
    <t>Confirmação do nº do cheque</t>
  </si>
  <si>
    <t>Relatórios bancários</t>
  </si>
  <si>
    <t>Estoque</t>
  </si>
  <si>
    <t>Cadastro do item</t>
  </si>
  <si>
    <t>Administração de itens</t>
  </si>
  <si>
    <t>Códigos de barras</t>
  </si>
  <si>
    <t>Posições no depósito</t>
  </si>
  <si>
    <t>Cadastro da posição no depósito</t>
  </si>
  <si>
    <t>Modificação do código da posição no depósito</t>
  </si>
  <si>
    <t>Itens alternativos</t>
  </si>
  <si>
    <t>Números de catálogo de parceiro de negócios</t>
  </si>
  <si>
    <t>Método de avaliação do estoque</t>
  </si>
  <si>
    <t>Entrada de mercadoria</t>
  </si>
  <si>
    <t>Saída de mercadorias</t>
  </si>
  <si>
    <t>Pedido de transferência de estoque</t>
  </si>
  <si>
    <t>Transferência do estoque</t>
  </si>
  <si>
    <t>Modelos de transação recorrente</t>
  </si>
  <si>
    <t>Transações de contagem de inventário</t>
  </si>
  <si>
    <t>Saldo inicial do inventário</t>
  </si>
  <si>
    <t>Recomendações de inventário rotativo</t>
  </si>
  <si>
    <t>Reavaliação do estoque</t>
  </si>
  <si>
    <t>Listas de preços</t>
  </si>
  <si>
    <t>Picking e embalagem</t>
  </si>
  <si>
    <t>Relatórios de estoque</t>
  </si>
  <si>
    <t>Recursos</t>
  </si>
  <si>
    <t>Cadastro de recursos</t>
  </si>
  <si>
    <t xml:space="preserve"> Somente leitura</t>
  </si>
  <si>
    <t xml:space="preserve">Capacidade do recurso </t>
  </si>
  <si>
    <t xml:space="preserve">Definir capacidades internas diárias </t>
  </si>
  <si>
    <t>Produção</t>
  </si>
  <si>
    <t>Estruturas de produtos</t>
  </si>
  <si>
    <t> Parcial (*1)</t>
  </si>
  <si>
    <t>Estrutura de produtos - Gerenciamento de componente</t>
  </si>
  <si>
    <t>Ordem de produção</t>
  </si>
  <si>
    <t xml:space="preserve">Assistente de confirmação de compra </t>
  </si>
  <si>
    <t xml:space="preserve">Entradas de produtos acabados </t>
  </si>
  <si>
    <t xml:space="preserve"> Saídas de insumos </t>
  </si>
  <si>
    <t xml:space="preserve">Atualizar os preços dos produtos acabados de forma global </t>
  </si>
  <si>
    <t xml:space="preserve"> Assistente de recálculo do custo do produto</t>
  </si>
  <si>
    <t>Relatórios de produção</t>
  </si>
  <si>
    <t> MRP</t>
  </si>
  <si>
    <t>Previsão de vendas</t>
  </si>
  <si>
    <t>Assistênte de MRP</t>
  </si>
  <si>
    <t>Recomendações do MRP</t>
  </si>
  <si>
    <t>Serviços</t>
  </si>
  <si>
    <t>Chamados de serviços</t>
  </si>
  <si>
    <t xml:space="preserve">Cartão de equipamento do cliente </t>
  </si>
  <si>
    <t xml:space="preserve">Contratos de serviços </t>
  </si>
  <si>
    <t>Base de conhecimento de soluçõe</t>
  </si>
  <si>
    <t>Relatórios de serviços</t>
  </si>
  <si>
    <t>Recursos humanos</t>
  </si>
  <si>
    <t>Cadastro de colaboradore</t>
  </si>
  <si>
    <t>Apontamento de horas</t>
  </si>
  <si>
    <t>Relatórios de recursos humanos</t>
  </si>
  <si>
    <t xml:space="preserve">Billing Document Generation Wizard </t>
  </si>
  <si>
    <t>Relatórios de projetos</t>
  </si>
  <si>
    <t>Relatórios</t>
  </si>
  <si>
    <t xml:space="preserve">Definir Layout padrão para documentos </t>
  </si>
  <si>
    <t xml:space="preserve">Modificar Layouts de Impressão </t>
  </si>
  <si>
    <t xml:space="preserve">Gerente de consulta </t>
  </si>
  <si>
    <t>Geral</t>
  </si>
  <si>
    <t xml:space="preserve">Configuração de formulários </t>
  </si>
  <si>
    <t xml:space="preserve">Calendário </t>
  </si>
  <si>
    <t xml:space="preserve">Resumo de Alertas/Mensagens </t>
  </si>
  <si>
    <t xml:space="preserve">Criar tabelas e campos definidos pelo usuário </t>
  </si>
  <si>
    <t>Usar tabelas e campos definidos pelo usuári</t>
  </si>
  <si>
    <t> Drag &amp; Relate</t>
  </si>
  <si>
    <t>Meu Menu</t>
  </si>
  <si>
    <t>Buscar</t>
  </si>
  <si>
    <t>Multi filiais</t>
  </si>
  <si>
    <t xml:space="preserve"> V. for SAP HANA</t>
  </si>
  <si>
    <t xml:space="preserve">Análise pervasiva
</t>
  </si>
  <si>
    <t>Previsão do fluxo de caixa</t>
  </si>
  <si>
    <t>Disponibilidade avançada a promessa</t>
  </si>
  <si>
    <t xml:space="preserve"> Enterprise Search</t>
  </si>
  <si>
    <t xml:space="preserve"> SAP Add-ons</t>
  </si>
  <si>
    <t xml:space="preserve"> DTW</t>
  </si>
  <si>
    <t xml:space="preserve"> Completo</t>
  </si>
  <si>
    <t xml:space="preserve"> Microsoft Outlook Integration</t>
  </si>
  <si>
    <t xml:space="preserve"> Mobility</t>
  </si>
  <si>
    <t xml:space="preserve"> Mobile Application</t>
  </si>
  <si>
    <t> Parcial (*3)</t>
  </si>
  <si>
    <t xml:space="preserve"> SAP Business One Sales</t>
  </si>
  <si>
    <t xml:space="preserve"> SAP Business One Service </t>
  </si>
  <si>
    <t xml:space="preserve"> Web client</t>
  </si>
  <si>
    <t xml:space="preserve"> SAP Business One Web Client </t>
  </si>
  <si>
    <t xml:space="preserve"> Analytics</t>
  </si>
  <si>
    <t xml:space="preserve"> KPIs</t>
  </si>
  <si>
    <t xml:space="preserve"> Dashboards</t>
  </si>
  <si>
    <t xml:space="preserve"> Advanced Dashboards</t>
  </si>
  <si>
    <t xml:space="preserve"> Excel Report and Interactive Analysis</t>
  </si>
  <si>
    <t xml:space="preserve"> Analytical Portal </t>
  </si>
  <si>
    <t>Projeto Go-Live</t>
  </si>
  <si>
    <t>Usuários do Strato</t>
  </si>
  <si>
    <t xml:space="preserve">Hector </t>
  </si>
  <si>
    <t>Gestor</t>
  </si>
  <si>
    <t>AURORA NAVEGAÇÃO</t>
  </si>
  <si>
    <t xml:space="preserve">Bernard </t>
  </si>
  <si>
    <t>Almoxerife</t>
  </si>
  <si>
    <t>Analista</t>
  </si>
  <si>
    <t>ANALISTA</t>
  </si>
  <si>
    <t>EDVAN</t>
  </si>
  <si>
    <t>COORD. MANUT</t>
  </si>
  <si>
    <t>CASA HOUDING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</si>
</sst>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&quot;R$&quot;\ #,##0;[Red]\-&quot;R$&quot;\ #,##0"/>
    <numFmt numFmtId="7" formatCode="&quot;R$&quot;\ #,##0.00;\-&quot;R$&quot;\ #,##0.00"/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_);_(* \(#,##0\);_(* &quot;-&quot;_);_(@_)"/>
    <numFmt numFmtId="165" formatCode="_(* #,##0.00_);_(* \(#,##0.00\);_(* &quot;-&quot;??_);_(@_)"/>
    <numFmt numFmtId="166" formatCode="&quot;Nova Encomenda&quot;;&quot;&quot;;&quot;&quot;"/>
    <numFmt numFmtId="167" formatCode="&quot;R$&quot;\ #,##0.00"/>
    <numFmt numFmtId="168" formatCode="0.0"/>
    <numFmt numFmtId="169" formatCode="0000000000"/>
    <numFmt numFmtId="170" formatCode="00000"/>
  </numFmts>
  <fonts count="121" x14ac:knownFonts="1">
    <font>
      <sz val="11"/>
      <color theme="3" tint="0.1499374370555742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b/>
      <sz val="11"/>
      <color theme="1"/>
      <name val="Franklin Gothic Medium"/>
      <family val="2"/>
      <scheme val="minor"/>
    </font>
    <font>
      <sz val="11"/>
      <color theme="3"/>
      <name val="Franklin Gothic Medium"/>
      <family val="2"/>
      <scheme val="minor"/>
    </font>
    <font>
      <sz val="16"/>
      <color theme="4" tint="-0.499984740745262"/>
      <name val="Franklin Gothic Medium"/>
      <family val="2"/>
      <scheme val="major"/>
    </font>
    <font>
      <sz val="11"/>
      <color theme="3" tint="0.14993743705557422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sz val="11"/>
      <color theme="0"/>
      <name val="Franklin Gothic Medium"/>
      <family val="2"/>
      <scheme val="major"/>
    </font>
    <font>
      <sz val="11"/>
      <color theme="4" tint="-0.499984740745262"/>
      <name val="Franklin Gothic Medium"/>
      <family val="2"/>
      <scheme val="minor"/>
    </font>
    <font>
      <sz val="11"/>
      <color theme="3" tint="0.14990691854609822"/>
      <name val="Franklin Gothic Medium"/>
      <family val="2"/>
      <scheme val="minor"/>
    </font>
    <font>
      <sz val="11"/>
      <color rgb="FF006100"/>
      <name val="Franklin Gothic Medium"/>
      <family val="2"/>
      <scheme val="minor"/>
    </font>
    <font>
      <sz val="11"/>
      <color rgb="FF9C0006"/>
      <name val="Franklin Gothic Medium"/>
      <family val="2"/>
      <scheme val="minor"/>
    </font>
    <font>
      <sz val="11"/>
      <color rgb="FF9C5700"/>
      <name val="Franklin Gothic Medium"/>
      <family val="2"/>
      <scheme val="minor"/>
    </font>
    <font>
      <sz val="11"/>
      <color rgb="FF3F3F76"/>
      <name val="Franklin Gothic Medium"/>
      <family val="2"/>
      <scheme val="minor"/>
    </font>
    <font>
      <b/>
      <sz val="11"/>
      <color rgb="FF3F3F3F"/>
      <name val="Franklin Gothic Medium"/>
      <family val="2"/>
      <scheme val="minor"/>
    </font>
    <font>
      <b/>
      <sz val="11"/>
      <color rgb="FFFA7D00"/>
      <name val="Franklin Gothic Medium"/>
      <family val="2"/>
      <scheme val="minor"/>
    </font>
    <font>
      <b/>
      <sz val="11"/>
      <color theme="0"/>
      <name val="Franklin Gothic Medium"/>
      <family val="2"/>
      <scheme val="minor"/>
    </font>
    <font>
      <sz val="11"/>
      <color rgb="FFFF0000"/>
      <name val="Franklin Gothic Medium"/>
      <family val="2"/>
      <scheme val="minor"/>
    </font>
    <font>
      <i/>
      <sz val="11"/>
      <color rgb="FF7F7F7F"/>
      <name val="Franklin Gothic Medium"/>
      <family val="2"/>
      <scheme val="minor"/>
    </font>
    <font>
      <sz val="8"/>
      <name val="Franklin Gothic Medium"/>
      <family val="2"/>
      <scheme val="minor"/>
    </font>
    <font>
      <sz val="10"/>
      <color theme="3" tint="0.14993743705557422"/>
      <name val="Franklin Gothic Medium"/>
      <family val="2"/>
      <scheme val="minor"/>
    </font>
    <font>
      <b/>
      <sz val="9"/>
      <color theme="3" tint="0.14996795556505021"/>
      <name val="Franklin Gothic Medium"/>
      <family val="2"/>
      <scheme val="major"/>
    </font>
    <font>
      <sz val="9"/>
      <color theme="3" tint="0.14993743705557422"/>
      <name val="Franklin Gothic Medium"/>
      <family val="2"/>
      <scheme val="minor"/>
    </font>
    <font>
      <b/>
      <sz val="24"/>
      <color theme="3" tint="0.14996795556505021"/>
      <name val="Franklin Gothic Medium"/>
      <family val="2"/>
      <scheme val="major"/>
    </font>
    <font>
      <sz val="9"/>
      <color rgb="FF000000"/>
      <name val="Franklin Gothic Medium"/>
      <family val="2"/>
      <scheme val="minor"/>
    </font>
    <font>
      <sz val="10"/>
      <color rgb="FF262626"/>
      <name val="Franklin Gothic Medium"/>
      <family val="2"/>
    </font>
    <font>
      <sz val="9"/>
      <color theme="1"/>
      <name val="Franklin Gothic Medium"/>
      <family val="2"/>
      <scheme val="minor"/>
    </font>
    <font>
      <u/>
      <sz val="11"/>
      <color theme="10"/>
      <name val="Franklin Gothic Medium"/>
      <family val="2"/>
      <scheme val="minor"/>
    </font>
    <font>
      <b/>
      <sz val="12"/>
      <color rgb="FF262626"/>
      <name val="Franklin Gothic Medium"/>
      <scheme val="major"/>
    </font>
    <font>
      <sz val="11"/>
      <color theme="3" tint="0.14993743705557422"/>
      <name val="Franklin Gothic Medium"/>
      <scheme val="minor"/>
    </font>
    <font>
      <u/>
      <sz val="11"/>
      <color theme="1"/>
      <name val="Franklin Gothic Medium"/>
      <family val="2"/>
      <scheme val="minor"/>
    </font>
    <font>
      <sz val="11"/>
      <color rgb="FF000000"/>
      <name val="Franklin Gothic Medium"/>
      <scheme val="minor"/>
    </font>
    <font>
      <b/>
      <sz val="24"/>
      <color rgb="FF262626"/>
      <name val="Franklin Gothic Medium"/>
      <charset val="1"/>
    </font>
    <font>
      <b/>
      <sz val="11"/>
      <color rgb="FF262626"/>
      <name val="Franklin Gothic Medium"/>
      <charset val="1"/>
    </font>
    <font>
      <sz val="11"/>
      <color rgb="FF00B050"/>
      <name val="Franklin Gothic Medium"/>
      <family val="2"/>
      <scheme val="minor"/>
    </font>
    <font>
      <sz val="11"/>
      <color rgb="FF000000"/>
      <name val="Arial"/>
      <family val="2"/>
    </font>
    <font>
      <sz val="11"/>
      <color theme="1"/>
      <name val="Franklin Gothic Medium"/>
      <family val="2"/>
    </font>
    <font>
      <sz val="11"/>
      <name val="Franklin Gothic Medium"/>
      <family val="2"/>
      <scheme val="minor"/>
    </font>
    <font>
      <sz val="11"/>
      <color rgb="FF262626"/>
      <name val="Franklin Gothic Medium"/>
      <family val="2"/>
    </font>
    <font>
      <sz val="11"/>
      <color rgb="FF262626"/>
      <name val="Franklin Gothic Medium"/>
      <family val="2"/>
      <scheme val="minor"/>
    </font>
    <font>
      <sz val="11"/>
      <color rgb="FF000000"/>
      <name val="Franklin Gothic Medium"/>
      <family val="2"/>
      <scheme val="minor"/>
    </font>
    <font>
      <sz val="11"/>
      <color rgb="FF262626"/>
      <name val="Franklin Gothic Medium"/>
      <scheme val="minor"/>
    </font>
    <font>
      <sz val="11"/>
      <color rgb="FF335C30"/>
      <name val="Franklin Gothic Medium"/>
      <scheme val="minor"/>
    </font>
    <font>
      <sz val="24"/>
      <color theme="3" tint="0.14996795556505021"/>
      <name val="Franklin Gothic Medium"/>
      <family val="2"/>
      <scheme val="major"/>
    </font>
    <font>
      <sz val="9"/>
      <color theme="3" tint="0.14996795556505021"/>
      <name val="Franklin Gothic Medium"/>
      <family val="2"/>
      <scheme val="major"/>
    </font>
    <font>
      <sz val="11"/>
      <color theme="1"/>
      <name val="Segoe UI"/>
      <family val="2"/>
    </font>
    <font>
      <sz val="11"/>
      <color theme="3" tint="0.14996795556505021"/>
      <name val="Franklin Gothic Medium"/>
      <family val="2"/>
      <scheme val="major"/>
    </font>
    <font>
      <b/>
      <sz val="16"/>
      <color theme="3" tint="0.14993743705557422"/>
      <name val="Franklin Gothic Medium"/>
      <family val="2"/>
      <scheme val="minor"/>
    </font>
    <font>
      <b/>
      <sz val="20"/>
      <name val="Segoe UI"/>
      <family val="2"/>
    </font>
    <font>
      <sz val="8"/>
      <color theme="1"/>
      <name val="Segoe UI"/>
      <family val="2"/>
    </font>
    <font>
      <b/>
      <sz val="12"/>
      <color theme="0"/>
      <name val="Segoe UI"/>
      <family val="2"/>
    </font>
    <font>
      <b/>
      <sz val="8"/>
      <color theme="0"/>
      <name val="Segoe UI"/>
      <family val="2"/>
    </font>
    <font>
      <sz val="9"/>
      <name val="Segoe UI"/>
      <family val="2"/>
    </font>
    <font>
      <sz val="9"/>
      <color theme="1"/>
      <name val="Segoe UI"/>
      <family val="2"/>
    </font>
    <font>
      <sz val="8"/>
      <name val="Segoe UI"/>
      <family val="2"/>
    </font>
    <font>
      <sz val="9"/>
      <color rgb="FFFF0000"/>
      <name val="Segoe U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sz val="8"/>
      <color rgb="FFFF0000"/>
      <name val="Segoe UI"/>
      <family val="2"/>
    </font>
    <font>
      <sz val="11"/>
      <color rgb="FF262626"/>
      <name val="Franklin Gothic Medium"/>
    </font>
    <font>
      <sz val="22"/>
      <color theme="3" tint="0.14993743705557422"/>
      <name val="Franklin Gothic Medium"/>
      <family val="2"/>
      <scheme val="minor"/>
    </font>
    <font>
      <sz val="24"/>
      <color rgb="FFFF0000"/>
      <name val="Franklin Gothic Medium"/>
      <family val="2"/>
      <scheme val="minor"/>
    </font>
    <font>
      <b/>
      <sz val="24"/>
      <color rgb="FFFF0000"/>
      <name val="Franklin Gothic Medium"/>
      <family val="2"/>
      <scheme val="major"/>
    </font>
    <font>
      <b/>
      <sz val="11"/>
      <color rgb="FF262626"/>
      <name val="Franklin Gothic Medium"/>
      <family val="2"/>
      <scheme val="minor"/>
    </font>
    <font>
      <sz val="11"/>
      <color rgb="FF000000"/>
      <name val="Aptos Narrow"/>
      <family val="2"/>
    </font>
    <font>
      <sz val="11"/>
      <color rgb="FF000000"/>
      <name val="Poppins"/>
    </font>
    <font>
      <b/>
      <sz val="14"/>
      <color theme="3" tint="0.14993743705557422"/>
      <name val="Franklin Gothic Medium"/>
      <family val="2"/>
      <scheme val="minor"/>
    </font>
    <font>
      <b/>
      <sz val="14"/>
      <color rgb="FF000000"/>
      <name val="Poppins"/>
    </font>
    <font>
      <b/>
      <sz val="10.5"/>
      <name val="Franklin Gothic Medium"/>
      <family val="2"/>
      <scheme val="minor"/>
    </font>
    <font>
      <b/>
      <sz val="10.5"/>
      <color rgb="FFDBE6FF"/>
      <name val="Franklin Gothic Medium"/>
      <family val="2"/>
      <scheme val="minor"/>
    </font>
    <font>
      <sz val="10"/>
      <color rgb="FF000000"/>
      <name val="Franklin Gothic Medium"/>
      <family val="2"/>
      <scheme val="minor"/>
    </font>
    <font>
      <b/>
      <sz val="10"/>
      <color rgb="FF000000"/>
      <name val="Franklin Gothic Medium"/>
      <family val="2"/>
      <scheme val="minor"/>
    </font>
    <font>
      <b/>
      <sz val="10.5"/>
      <color rgb="FF4F4F57"/>
      <name val="Franklin Gothic Medium"/>
      <family val="2"/>
      <scheme val="minor"/>
    </font>
    <font>
      <b/>
      <sz val="10.5"/>
      <color rgb="FF3B2F42"/>
      <name val="Franklin Gothic Medium"/>
      <family val="2"/>
      <scheme val="minor"/>
    </font>
    <font>
      <b/>
      <sz val="10.5"/>
      <color rgb="FF483831"/>
      <name val="Franklin Gothic Medium"/>
      <family val="2"/>
      <scheme val="minor"/>
    </font>
    <font>
      <b/>
      <vertAlign val="subscript"/>
      <sz val="16"/>
      <color rgb="FF008000"/>
      <name val="Franklin Gothic Medium"/>
      <family val="2"/>
      <scheme val="minor"/>
    </font>
    <font>
      <b/>
      <sz val="10.5"/>
      <color rgb="FF5D2A26"/>
      <name val="Franklin Gothic Medium"/>
      <family val="2"/>
      <scheme val="minor"/>
    </font>
    <font>
      <b/>
      <sz val="10.5"/>
      <color rgb="FF46001A"/>
      <name val="Franklin Gothic Medium"/>
      <family val="2"/>
      <scheme val="minor"/>
    </font>
    <font>
      <b/>
      <sz val="10.5"/>
      <color rgb="FF261831"/>
      <name val="Franklin Gothic Medium"/>
      <family val="2"/>
      <scheme val="minor"/>
    </font>
    <font>
      <b/>
      <sz val="10.5"/>
      <color rgb="FF008000"/>
      <name val="Franklin Gothic Medium"/>
      <family val="2"/>
      <scheme val="minor"/>
    </font>
    <font>
      <sz val="10"/>
      <color rgb="FF000000"/>
      <name val="Times New Roman"/>
      <family val="1"/>
    </font>
    <font>
      <b/>
      <sz val="10.5"/>
      <color rgb="FF000000"/>
      <name val="Franklin Gothic Medium"/>
      <family val="2"/>
      <scheme val="minor"/>
    </font>
    <font>
      <sz val="10"/>
      <color rgb="FF000000"/>
      <name val="Arial"/>
      <family val="2"/>
    </font>
    <font>
      <b/>
      <sz val="10.5"/>
      <color rgb="FF626269"/>
      <name val="Franklin Gothic Medium"/>
      <family val="2"/>
      <scheme val="minor"/>
    </font>
    <font>
      <sz val="10"/>
      <color theme="3"/>
      <name val="Franklin Gothic Medium"/>
      <family val="2"/>
      <scheme val="minor"/>
    </font>
    <font>
      <b/>
      <sz val="10"/>
      <color rgb="FF000000"/>
      <name val="Franklin Gothic Medium"/>
      <scheme val="major"/>
    </font>
    <font>
      <b/>
      <sz val="11"/>
      <color rgb="FF000000"/>
      <name val="Franklin Gothic Medium"/>
      <scheme val="minor"/>
    </font>
    <font>
      <sz val="24"/>
      <color theme="3" tint="0.14996795556505021"/>
      <name val="Franklin Gothic Medium"/>
      <scheme val="major"/>
    </font>
    <font>
      <b/>
      <sz val="24"/>
      <color theme="3" tint="0.14996795556505021"/>
      <name val="Franklin Gothic Medium"/>
      <scheme val="major"/>
    </font>
    <font>
      <sz val="10.5"/>
      <color rgb="FF261831"/>
      <name val="Franklin Gothic Medium"/>
      <family val="2"/>
      <scheme val="minor"/>
    </font>
    <font>
      <sz val="10.5"/>
      <color rgb="FF261831"/>
      <name val="Bahnschrift SemiBold"/>
      <family val="2"/>
    </font>
    <font>
      <sz val="10.5"/>
      <color rgb="FF3B2F42"/>
      <name val="Franklin Gothic Medium"/>
      <family val="2"/>
      <scheme val="minor"/>
    </font>
    <font>
      <b/>
      <sz val="10.5"/>
      <color rgb="FFFF0000"/>
      <name val="Franklin Gothic Medium"/>
      <family val="2"/>
      <scheme val="minor"/>
    </font>
    <font>
      <b/>
      <sz val="10"/>
      <color rgb="FFFF0000"/>
      <name val="Franklin Gothic Medium"/>
      <family val="2"/>
      <scheme val="minor"/>
    </font>
    <font>
      <b/>
      <sz val="11"/>
      <color rgb="FFFF0000"/>
      <name val="Franklin Gothic Medium"/>
      <family val="2"/>
      <scheme val="minor"/>
    </font>
    <font>
      <sz val="11"/>
      <color rgb="FF00B050"/>
      <name val="Franklin Gothic Medium"/>
    </font>
    <font>
      <sz val="11"/>
      <color theme="3" tint="0.14993743705557422"/>
      <name val="Franklin Gothic Medium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24"/>
      <color rgb="FF262626"/>
      <name val="Arial"/>
    </font>
    <font>
      <b/>
      <sz val="10"/>
      <color rgb="FF6B5B66"/>
      <name val="Nunito"/>
    </font>
    <font>
      <sz val="10"/>
      <color rgb="FF6B5B66"/>
      <name val="Nunito"/>
    </font>
    <font>
      <b/>
      <sz val="12"/>
      <color theme="0"/>
      <name val="Franklin Gothic Medium"/>
      <family val="2"/>
      <scheme val="minor"/>
    </font>
    <font>
      <u/>
      <sz val="11"/>
      <color theme="3" tint="0.14993743705557422"/>
      <name val="Franklin Gothic Medium"/>
      <family val="2"/>
      <scheme val="minor"/>
    </font>
    <font>
      <sz val="11"/>
      <name val="Franklin Gothic Medium"/>
      <family val="2"/>
      <scheme val="major"/>
    </font>
    <font>
      <b/>
      <sz val="11"/>
      <color theme="3" tint="0.14996795556505021"/>
      <name val="Franklin Gothic Medium"/>
      <family val="2"/>
      <scheme val="major"/>
    </font>
    <font>
      <sz val="20"/>
      <color theme="1"/>
      <name val="Franklin Gothic Medium"/>
      <family val="2"/>
      <scheme val="minor"/>
    </font>
    <font>
      <sz val="16"/>
      <color theme="3" tint="0.14993743705557422"/>
      <name val="Franklin Gothic Medium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00B050"/>
      <name val="Aptos Narrow"/>
      <family val="2"/>
    </font>
    <font>
      <sz val="10"/>
      <color theme="1"/>
      <name val="Franklin Gothic Medium"/>
      <family val="2"/>
      <scheme val="minor"/>
    </font>
    <font>
      <sz val="10"/>
      <color theme="1"/>
      <name val="Franklin Gothic Medium"/>
      <family val="2"/>
    </font>
    <font>
      <sz val="11"/>
      <color rgb="FFFF0000"/>
      <name val="Franklin Gothic Medium"/>
      <family val="2"/>
    </font>
  </fonts>
  <fills count="6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2">
    <xf numFmtId="0" fontId="0" fillId="0" borderId="0">
      <alignment vertical="center"/>
    </xf>
    <xf numFmtId="0" fontId="6" fillId="0" borderId="1" applyNumberFormat="0" applyFill="0" applyAlignment="0" applyProtection="0"/>
    <xf numFmtId="0" fontId="13" fillId="2" borderId="0" applyNumberFormat="0" applyProtection="0">
      <alignment horizontal="left" vertical="center" indent="1"/>
    </xf>
    <xf numFmtId="0" fontId="7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8" fillId="0" borderId="2" applyNumberFormat="0" applyFill="0" applyAlignment="0" applyProtection="0"/>
    <xf numFmtId="166" fontId="15" fillId="0" borderId="0">
      <alignment horizontal="center" vertical="center"/>
    </xf>
    <xf numFmtId="0" fontId="12" fillId="2" borderId="0" applyNumberFormat="0" applyProtection="0">
      <alignment horizontal="right" indent="1"/>
    </xf>
    <xf numFmtId="0" fontId="14" fillId="0" borderId="0" applyNumberFormat="0" applyProtection="0">
      <alignment horizontal="center"/>
    </xf>
    <xf numFmtId="0" fontId="10" fillId="0" borderId="0" applyNumberFormat="0" applyFill="0" applyBorder="0" applyProtection="0">
      <alignment horizontal="left" vertical="top"/>
    </xf>
    <xf numFmtId="0" fontId="11" fillId="0" borderId="0">
      <alignment horizontal="left" vertical="center" wrapText="1" indent="1"/>
    </xf>
    <xf numFmtId="1" fontId="11" fillId="0" borderId="0">
      <alignment horizontal="center" vertical="center"/>
    </xf>
    <xf numFmtId="7" fontId="11" fillId="0" borderId="0">
      <alignment horizontal="right" vertical="center"/>
    </xf>
    <xf numFmtId="0" fontId="12" fillId="0" borderId="0" applyNumberFormat="0" applyFill="0" applyBorder="0">
      <alignment horizontal="center"/>
    </xf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3" applyNumberFormat="0" applyAlignment="0" applyProtection="0"/>
    <xf numFmtId="0" fontId="20" fillId="7" borderId="4" applyNumberFormat="0" applyAlignment="0" applyProtection="0"/>
    <xf numFmtId="0" fontId="21" fillId="7" borderId="3" applyNumberFormat="0" applyAlignment="0" applyProtection="0"/>
    <xf numFmtId="0" fontId="22" fillId="8" borderId="5" applyNumberFormat="0" applyAlignment="0" applyProtection="0"/>
    <xf numFmtId="0" fontId="23" fillId="0" borderId="0" applyNumberFormat="0" applyFill="0" applyBorder="0" applyAlignment="0" applyProtection="0"/>
    <xf numFmtId="0" fontId="11" fillId="9" borderId="6" applyNumberFormat="0" applyFont="0" applyAlignment="0" applyProtection="0"/>
    <xf numFmtId="0" fontId="24" fillId="0" borderId="0" applyNumberFormat="0" applyFill="0" applyBorder="0" applyAlignment="0" applyProtection="0"/>
    <xf numFmtId="0" fontId="12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12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12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12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12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12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70" fillId="0" borderId="0"/>
    <xf numFmtId="0" fontId="70" fillId="0" borderId="0"/>
    <xf numFmtId="0" fontId="4" fillId="0" borderId="0"/>
    <xf numFmtId="0" fontId="33" fillId="0" borderId="0" applyNumberFormat="0" applyFill="0" applyBorder="0" applyAlignment="0" applyProtection="0">
      <alignment vertical="center"/>
    </xf>
    <xf numFmtId="0" fontId="3" fillId="0" borderId="0"/>
    <xf numFmtId="0" fontId="33" fillId="0" borderId="0" applyNumberFormat="0" applyFill="0" applyBorder="0" applyAlignment="0" applyProtection="0"/>
  </cellStyleXfs>
  <cellXfs count="459">
    <xf numFmtId="0" fontId="0" fillId="0" borderId="0" xfId="0">
      <alignment vertic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0" xfId="0" applyFill="1">
      <alignment vertical="center"/>
    </xf>
    <xf numFmtId="0" fontId="27" fillId="0" borderId="1" xfId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35" borderId="0" xfId="11" applyFont="1" applyFill="1" applyAlignment="1">
      <alignment horizontal="center" vertical="center" wrapText="1"/>
    </xf>
    <xf numFmtId="0" fontId="29" fillId="0" borderId="1" xfId="1" applyFont="1" applyAlignment="1">
      <alignment vertical="center"/>
    </xf>
    <xf numFmtId="0" fontId="26" fillId="0" borderId="0" xfId="0" applyFont="1" applyAlignment="1">
      <alignment horizontal="center"/>
    </xf>
    <xf numFmtId="0" fontId="5" fillId="37" borderId="0" xfId="0" applyFont="1" applyFill="1">
      <alignment vertical="center"/>
    </xf>
    <xf numFmtId="0" fontId="0" fillId="37" borderId="0" xfId="0" applyFill="1">
      <alignment vertical="center"/>
    </xf>
    <xf numFmtId="0" fontId="0" fillId="0" borderId="0" xfId="0" applyAlignment="1">
      <alignment horizontal="left"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54" applyFont="1">
      <alignment vertical="center"/>
    </xf>
    <xf numFmtId="16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37" fillId="0" borderId="0" xfId="0" applyFont="1" applyAlignment="1">
      <alignment horizontal="left" wrapText="1"/>
    </xf>
    <xf numFmtId="0" fontId="38" fillId="0" borderId="0" xfId="0" applyFont="1">
      <alignment vertical="center"/>
    </xf>
    <xf numFmtId="0" fontId="39" fillId="37" borderId="0" xfId="0" applyFont="1" applyFill="1">
      <alignment vertical="center"/>
    </xf>
    <xf numFmtId="0" fontId="0" fillId="0" borderId="0" xfId="0" applyAlignment="1">
      <alignment horizontal="right" vertical="center"/>
    </xf>
    <xf numFmtId="167" fontId="28" fillId="0" borderId="0" xfId="0" applyNumberFormat="1" applyFont="1" applyAlignment="1">
      <alignment horizontal="center" vertical="center"/>
    </xf>
    <xf numFmtId="0" fontId="32" fillId="34" borderId="7" xfId="11" applyFont="1" applyFill="1" applyBorder="1" applyAlignment="1">
      <alignment horizontal="center" vertical="center" wrapText="1"/>
    </xf>
    <xf numFmtId="0" fontId="28" fillId="34" borderId="7" xfId="1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6" fillId="37" borderId="0" xfId="0" applyFont="1" applyFill="1" applyAlignment="1">
      <alignment horizontal="center"/>
    </xf>
    <xf numFmtId="0" fontId="32" fillId="36" borderId="7" xfId="11" applyFont="1" applyFill="1" applyBorder="1" applyAlignment="1">
      <alignment horizontal="center" vertical="center" wrapText="1"/>
    </xf>
    <xf numFmtId="0" fontId="28" fillId="35" borderId="7" xfId="11" applyFont="1" applyFill="1" applyBorder="1" applyAlignment="1">
      <alignment horizontal="center" vertical="center" wrapText="1"/>
    </xf>
    <xf numFmtId="0" fontId="30" fillId="36" borderId="7" xfId="11" applyFont="1" applyFill="1" applyBorder="1" applyAlignment="1">
      <alignment horizontal="center" vertical="center" wrapText="1"/>
    </xf>
    <xf numFmtId="0" fontId="28" fillId="38" borderId="7" xfId="11" applyFont="1" applyFill="1" applyBorder="1" applyAlignment="1">
      <alignment horizontal="center" vertical="center" wrapText="1"/>
    </xf>
    <xf numFmtId="0" fontId="28" fillId="0" borderId="7" xfId="11" applyFont="1" applyBorder="1" applyAlignment="1">
      <alignment horizontal="center" vertical="center" wrapText="1"/>
    </xf>
    <xf numFmtId="0" fontId="28" fillId="36" borderId="7" xfId="11" applyFont="1" applyFill="1" applyBorder="1" applyAlignment="1">
      <alignment horizontal="center" vertical="center" wrapText="1"/>
    </xf>
    <xf numFmtId="0" fontId="40" fillId="0" borderId="0" xfId="0" applyFont="1">
      <alignment vertical="center"/>
    </xf>
    <xf numFmtId="0" fontId="23" fillId="0" borderId="0" xfId="0" applyFont="1">
      <alignment vertical="center"/>
    </xf>
    <xf numFmtId="0" fontId="29" fillId="0" borderId="0" xfId="1" applyFont="1" applyBorder="1" applyAlignment="1">
      <alignment vertical="center"/>
    </xf>
    <xf numFmtId="0" fontId="27" fillId="0" borderId="0" xfId="1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39" borderId="0" xfId="0" applyFill="1">
      <alignment vertical="center"/>
    </xf>
    <xf numFmtId="0" fontId="0" fillId="40" borderId="0" xfId="0" applyFill="1">
      <alignment vertical="center"/>
    </xf>
    <xf numFmtId="0" fontId="31" fillId="36" borderId="0" xfId="0" applyFont="1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35" borderId="0" xfId="0" applyFill="1" applyAlignment="1">
      <alignment horizontal="left" vertical="center"/>
    </xf>
    <xf numFmtId="0" fontId="29" fillId="0" borderId="0" xfId="1" applyFont="1" applyBorder="1" applyAlignment="1">
      <alignment horizontal="center" vertical="center"/>
    </xf>
    <xf numFmtId="0" fontId="23" fillId="39" borderId="8" xfId="0" applyFont="1" applyFill="1" applyBorder="1" applyAlignment="1">
      <alignment horizontal="center" vertical="center"/>
    </xf>
    <xf numFmtId="0" fontId="27" fillId="0" borderId="0" xfId="1" applyFont="1" applyBorder="1" applyAlignment="1">
      <alignment horizontal="center" vertical="center"/>
    </xf>
    <xf numFmtId="0" fontId="0" fillId="39" borderId="8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9" fillId="0" borderId="1" xfId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41" borderId="8" xfId="0" applyFill="1" applyBorder="1">
      <alignment vertical="center"/>
    </xf>
    <xf numFmtId="0" fontId="14" fillId="0" borderId="8" xfId="54" applyFont="1" applyBorder="1" applyAlignment="1">
      <alignment horizontal="center"/>
    </xf>
    <xf numFmtId="0" fontId="0" fillId="0" borderId="8" xfId="0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34" borderId="0" xfId="0" applyFill="1">
      <alignment vertical="center"/>
    </xf>
    <xf numFmtId="0" fontId="31" fillId="37" borderId="0" xfId="0" applyFont="1" applyFill="1" applyAlignment="1">
      <alignment horizontal="center" vertical="center"/>
    </xf>
    <xf numFmtId="0" fontId="0" fillId="36" borderId="0" xfId="0" applyFill="1">
      <alignment vertical="center"/>
    </xf>
    <xf numFmtId="0" fontId="9" fillId="34" borderId="0" xfId="0" applyFont="1" applyFill="1">
      <alignment vertical="center"/>
    </xf>
    <xf numFmtId="0" fontId="0" fillId="42" borderId="0" xfId="0" applyFill="1">
      <alignment vertical="center"/>
    </xf>
    <xf numFmtId="0" fontId="35" fillId="0" borderId="8" xfId="0" applyFont="1" applyBorder="1">
      <alignment vertical="center"/>
    </xf>
    <xf numFmtId="0" fontId="0" fillId="39" borderId="0" xfId="0" applyFill="1" applyAlignment="1">
      <alignment horizontal="left" vertical="center"/>
    </xf>
    <xf numFmtId="0" fontId="0" fillId="35" borderId="0" xfId="0" applyFill="1" applyAlignment="1">
      <alignment horizontal="center" vertical="center"/>
    </xf>
    <xf numFmtId="0" fontId="9" fillId="35" borderId="0" xfId="0" applyFont="1" applyFill="1">
      <alignment vertical="center"/>
    </xf>
    <xf numFmtId="0" fontId="23" fillId="35" borderId="0" xfId="0" applyFont="1" applyFill="1">
      <alignment vertical="center"/>
    </xf>
    <xf numFmtId="0" fontId="46" fillId="34" borderId="0" xfId="11" applyFont="1" applyFill="1" applyAlignment="1">
      <alignment horizontal="center" vertical="center" wrapText="1"/>
    </xf>
    <xf numFmtId="1" fontId="46" fillId="34" borderId="0" xfId="12" applyFont="1" applyFill="1">
      <alignment horizontal="center" vertical="center"/>
    </xf>
    <xf numFmtId="0" fontId="44" fillId="34" borderId="0" xfId="0" applyFont="1" applyFill="1" applyAlignment="1">
      <alignment horizontal="center" vertical="center"/>
    </xf>
    <xf numFmtId="167" fontId="44" fillId="34" borderId="0" xfId="0" applyNumberFormat="1" applyFont="1" applyFill="1" applyAlignment="1">
      <alignment horizontal="center" vertical="center"/>
    </xf>
    <xf numFmtId="0" fontId="44" fillId="35" borderId="0" xfId="0" applyFont="1" applyFill="1" applyAlignment="1">
      <alignment horizontal="center" vertical="center"/>
    </xf>
    <xf numFmtId="0" fontId="43" fillId="34" borderId="0" xfId="11" applyFont="1" applyFill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167" fontId="42" fillId="34" borderId="0" xfId="0" applyNumberFormat="1" applyFont="1" applyFill="1" applyAlignment="1">
      <alignment horizontal="center" vertical="center"/>
    </xf>
    <xf numFmtId="0" fontId="41" fillId="34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3" fillId="35" borderId="0" xfId="11" applyFont="1" applyFill="1" applyAlignment="1">
      <alignment horizontal="center" vertical="center" wrapText="1"/>
    </xf>
    <xf numFmtId="167" fontId="44" fillId="0" borderId="0" xfId="0" applyNumberFormat="1" applyFont="1" applyAlignment="1">
      <alignment horizontal="center" vertical="center"/>
    </xf>
    <xf numFmtId="0" fontId="23" fillId="34" borderId="0" xfId="11" applyFont="1" applyFill="1" applyAlignment="1">
      <alignment horizontal="center" vertical="center" wrapText="1"/>
    </xf>
    <xf numFmtId="0" fontId="42" fillId="34" borderId="0" xfId="0" applyFont="1" applyFill="1" applyAlignment="1">
      <alignment horizontal="center" vertical="center"/>
    </xf>
    <xf numFmtId="0" fontId="31" fillId="34" borderId="0" xfId="0" applyFont="1" applyFill="1" applyAlignment="1">
      <alignment horizontal="center" vertical="center"/>
    </xf>
    <xf numFmtId="0" fontId="49" fillId="0" borderId="0" xfId="1" applyFont="1" applyBorder="1" applyAlignment="1">
      <alignment vertical="center"/>
    </xf>
    <xf numFmtId="0" fontId="49" fillId="0" borderId="0" xfId="1" applyFont="1" applyBorder="1" applyAlignment="1">
      <alignment horizontal="center" vertical="center"/>
    </xf>
    <xf numFmtId="0" fontId="50" fillId="0" borderId="0" xfId="1" applyFont="1" applyBorder="1" applyAlignment="1">
      <alignment vertical="center"/>
    </xf>
    <xf numFmtId="0" fontId="11" fillId="34" borderId="0" xfId="11" applyFill="1" applyAlignment="1">
      <alignment horizontal="center" vertical="center" wrapText="1"/>
    </xf>
    <xf numFmtId="1" fontId="11" fillId="34" borderId="0" xfId="12" applyFill="1">
      <alignment horizontal="center" vertical="center"/>
    </xf>
    <xf numFmtId="0" fontId="0" fillId="34" borderId="0" xfId="0" applyFill="1" applyAlignment="1">
      <alignment horizontal="center" vertical="center"/>
    </xf>
    <xf numFmtId="1" fontId="11" fillId="35" borderId="0" xfId="12" applyFill="1">
      <alignment horizontal="center" vertical="center"/>
    </xf>
    <xf numFmtId="1" fontId="11" fillId="0" borderId="0" xfId="12">
      <alignment horizontal="center" vertical="center"/>
    </xf>
    <xf numFmtId="0" fontId="52" fillId="0" borderId="0" xfId="1" applyFont="1" applyBorder="1" applyAlignment="1">
      <alignment vertical="center"/>
    </xf>
    <xf numFmtId="0" fontId="52" fillId="0" borderId="0" xfId="1" applyFont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11" fillId="0" borderId="0" xfId="11" applyAlignment="1">
      <alignment horizontal="center" vertical="center" wrapText="1"/>
    </xf>
    <xf numFmtId="0" fontId="11" fillId="35" borderId="0" xfId="11" applyFill="1" applyAlignment="1">
      <alignment horizontal="center" vertical="center" wrapText="1"/>
    </xf>
    <xf numFmtId="0" fontId="12" fillId="34" borderId="0" xfId="0" applyFont="1" applyFill="1">
      <alignment vertical="center"/>
    </xf>
    <xf numFmtId="0" fontId="43" fillId="34" borderId="0" xfId="0" applyFont="1" applyFill="1">
      <alignment vertical="center"/>
    </xf>
    <xf numFmtId="0" fontId="0" fillId="43" borderId="0" xfId="0" applyFill="1">
      <alignment vertical="center"/>
    </xf>
    <xf numFmtId="0" fontId="0" fillId="44" borderId="0" xfId="0" applyFill="1">
      <alignment vertical="center"/>
    </xf>
    <xf numFmtId="0" fontId="46" fillId="34" borderId="7" xfId="11" applyFont="1" applyFill="1" applyBorder="1" applyAlignment="1">
      <alignment horizontal="center" vertical="center" wrapText="1"/>
    </xf>
    <xf numFmtId="0" fontId="0" fillId="41" borderId="0" xfId="0" applyFill="1" applyAlignment="1">
      <alignment horizontal="center" vertical="center"/>
    </xf>
    <xf numFmtId="0" fontId="0" fillId="41" borderId="9" xfId="0" applyFill="1" applyBorder="1" applyAlignment="1">
      <alignment horizontal="center" vertical="center"/>
    </xf>
    <xf numFmtId="0" fontId="53" fillId="0" borderId="0" xfId="0" applyFont="1">
      <alignment vertical="center"/>
    </xf>
    <xf numFmtId="0" fontId="55" fillId="34" borderId="0" xfId="0" applyFont="1" applyFill="1" applyAlignment="1">
      <alignment horizontal="left" vertical="center"/>
    </xf>
    <xf numFmtId="0" fontId="56" fillId="34" borderId="0" xfId="34" applyFont="1" applyFill="1" applyAlignment="1">
      <alignment vertical="center"/>
    </xf>
    <xf numFmtId="0" fontId="57" fillId="34" borderId="0" xfId="34" applyFont="1" applyFill="1" applyAlignment="1">
      <alignment vertical="center"/>
    </xf>
    <xf numFmtId="0" fontId="57" fillId="45" borderId="11" xfId="0" applyFont="1" applyFill="1" applyBorder="1" applyAlignment="1">
      <alignment vertical="center" wrapText="1"/>
    </xf>
    <xf numFmtId="0" fontId="57" fillId="45" borderId="11" xfId="0" applyFont="1" applyFill="1" applyBorder="1" applyAlignment="1">
      <alignment horizontal="left" vertical="center" wrapText="1"/>
    </xf>
    <xf numFmtId="0" fontId="55" fillId="34" borderId="0" xfId="0" applyFont="1" applyFill="1" applyAlignment="1">
      <alignment horizontal="left" vertical="top"/>
    </xf>
    <xf numFmtId="0" fontId="58" fillId="46" borderId="10" xfId="0" applyFont="1" applyFill="1" applyBorder="1" applyAlignment="1">
      <alignment vertical="center" wrapText="1"/>
    </xf>
    <xf numFmtId="0" fontId="59" fillId="46" borderId="10" xfId="0" applyFont="1" applyFill="1" applyBorder="1" applyAlignment="1">
      <alignment horizontal="left" vertical="top" wrapText="1"/>
    </xf>
    <xf numFmtId="0" fontId="58" fillId="46" borderId="10" xfId="0" applyFont="1" applyFill="1" applyBorder="1" applyAlignment="1">
      <alignment horizontal="center" vertical="center" wrapText="1"/>
    </xf>
    <xf numFmtId="0" fontId="55" fillId="46" borderId="10" xfId="0" applyFont="1" applyFill="1" applyBorder="1" applyAlignment="1">
      <alignment horizontal="center" vertical="center"/>
    </xf>
    <xf numFmtId="0" fontId="55" fillId="46" borderId="10" xfId="0" applyFont="1" applyFill="1" applyBorder="1" applyAlignment="1">
      <alignment horizontal="center" vertical="center" wrapText="1"/>
    </xf>
    <xf numFmtId="0" fontId="58" fillId="46" borderId="8" xfId="0" applyFont="1" applyFill="1" applyBorder="1" applyAlignment="1">
      <alignment vertical="center" wrapText="1"/>
    </xf>
    <xf numFmtId="0" fontId="59" fillId="46" borderId="8" xfId="0" applyFont="1" applyFill="1" applyBorder="1" applyAlignment="1">
      <alignment horizontal="left" vertical="top" wrapText="1"/>
    </xf>
    <xf numFmtId="0" fontId="59" fillId="46" borderId="8" xfId="0" applyFont="1" applyFill="1" applyBorder="1" applyAlignment="1">
      <alignment horizontal="center" vertical="center"/>
    </xf>
    <xf numFmtId="0" fontId="55" fillId="46" borderId="8" xfId="0" applyFont="1" applyFill="1" applyBorder="1" applyAlignment="1">
      <alignment horizontal="center" vertical="center"/>
    </xf>
    <xf numFmtId="0" fontId="58" fillId="46" borderId="8" xfId="0" applyFont="1" applyFill="1" applyBorder="1" applyAlignment="1">
      <alignment horizontal="center" vertical="center" wrapText="1"/>
    </xf>
    <xf numFmtId="0" fontId="55" fillId="46" borderId="8" xfId="0" applyFont="1" applyFill="1" applyBorder="1" applyAlignment="1">
      <alignment horizontal="center" vertical="center" wrapText="1"/>
    </xf>
    <xf numFmtId="0" fontId="59" fillId="46" borderId="8" xfId="0" applyFont="1" applyFill="1" applyBorder="1" applyAlignment="1">
      <alignment horizontal="center" vertical="center" wrapText="1"/>
    </xf>
    <xf numFmtId="0" fontId="58" fillId="46" borderId="8" xfId="0" applyFont="1" applyFill="1" applyBorder="1" applyAlignment="1">
      <alignment horizontal="left" vertical="top" wrapText="1"/>
    </xf>
    <xf numFmtId="0" fontId="58" fillId="46" borderId="8" xfId="0" applyFont="1" applyFill="1" applyBorder="1" applyAlignment="1">
      <alignment horizontal="center" vertical="center"/>
    </xf>
    <xf numFmtId="0" fontId="60" fillId="46" borderId="8" xfId="0" applyFont="1" applyFill="1" applyBorder="1" applyAlignment="1">
      <alignment horizontal="center" vertical="center"/>
    </xf>
    <xf numFmtId="0" fontId="60" fillId="46" borderId="8" xfId="0" applyFont="1" applyFill="1" applyBorder="1" applyAlignment="1">
      <alignment horizontal="center" vertical="center" wrapText="1"/>
    </xf>
    <xf numFmtId="0" fontId="58" fillId="47" borderId="8" xfId="0" applyFont="1" applyFill="1" applyBorder="1" applyAlignment="1">
      <alignment vertical="center" wrapText="1"/>
    </xf>
    <xf numFmtId="0" fontId="59" fillId="47" borderId="8" xfId="0" applyFont="1" applyFill="1" applyBorder="1" applyAlignment="1">
      <alignment horizontal="left" vertical="top" wrapText="1"/>
    </xf>
    <xf numFmtId="0" fontId="58" fillId="47" borderId="8" xfId="0" applyFont="1" applyFill="1" applyBorder="1" applyAlignment="1">
      <alignment horizontal="center" vertical="center" wrapText="1"/>
    </xf>
    <xf numFmtId="0" fontId="55" fillId="47" borderId="8" xfId="0" applyFont="1" applyFill="1" applyBorder="1" applyAlignment="1">
      <alignment horizontal="center" vertical="center"/>
    </xf>
    <xf numFmtId="0" fontId="55" fillId="47" borderId="8" xfId="0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vertical="center" wrapText="1"/>
    </xf>
    <xf numFmtId="0" fontId="59" fillId="48" borderId="8" xfId="0" applyFont="1" applyFill="1" applyBorder="1" applyAlignment="1">
      <alignment horizontal="left" vertical="top" wrapText="1"/>
    </xf>
    <xf numFmtId="0" fontId="59" fillId="49" borderId="8" xfId="0" applyFont="1" applyFill="1" applyBorder="1" applyAlignment="1">
      <alignment horizontal="center" vertical="center"/>
    </xf>
    <xf numFmtId="0" fontId="55" fillId="48" borderId="8" xfId="0" applyFont="1" applyFill="1" applyBorder="1" applyAlignment="1">
      <alignment horizontal="center" vertical="center"/>
    </xf>
    <xf numFmtId="0" fontId="55" fillId="48" borderId="8" xfId="0" applyFont="1" applyFill="1" applyBorder="1" applyAlignment="1">
      <alignment horizontal="center" vertical="center" wrapText="1"/>
    </xf>
    <xf numFmtId="0" fontId="58" fillId="49" borderId="8" xfId="0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 wrapText="1"/>
    </xf>
    <xf numFmtId="0" fontId="58" fillId="50" borderId="8" xfId="0" applyFont="1" applyFill="1" applyBorder="1" applyAlignment="1">
      <alignment vertical="center" wrapText="1"/>
    </xf>
    <xf numFmtId="0" fontId="59" fillId="50" borderId="8" xfId="0" applyFont="1" applyFill="1" applyBorder="1" applyAlignment="1">
      <alignment horizontal="left" vertical="top" wrapText="1"/>
    </xf>
    <xf numFmtId="0" fontId="58" fillId="50" borderId="8" xfId="0" applyFont="1" applyFill="1" applyBorder="1" applyAlignment="1">
      <alignment horizontal="center" vertical="center" wrapText="1"/>
    </xf>
    <xf numFmtId="0" fontId="55" fillId="50" borderId="8" xfId="0" applyFont="1" applyFill="1" applyBorder="1" applyAlignment="1">
      <alignment horizontal="center" vertical="center"/>
    </xf>
    <xf numFmtId="0" fontId="55" fillId="50" borderId="8" xfId="0" applyFont="1" applyFill="1" applyBorder="1" applyAlignment="1">
      <alignment horizontal="center" vertical="center" wrapText="1"/>
    </xf>
    <xf numFmtId="0" fontId="58" fillId="50" borderId="8" xfId="0" applyFont="1" applyFill="1" applyBorder="1" applyAlignment="1">
      <alignment horizontal="left" vertical="top" wrapText="1"/>
    </xf>
    <xf numFmtId="0" fontId="59" fillId="50" borderId="8" xfId="0" applyFont="1" applyFill="1" applyBorder="1" applyAlignment="1">
      <alignment horizontal="center" vertical="center" wrapText="1"/>
    </xf>
    <xf numFmtId="0" fontId="58" fillId="51" borderId="8" xfId="0" applyFont="1" applyFill="1" applyBorder="1" applyAlignment="1">
      <alignment vertical="center" wrapText="1"/>
    </xf>
    <xf numFmtId="0" fontId="59" fillId="51" borderId="8" xfId="0" applyFont="1" applyFill="1" applyBorder="1" applyAlignment="1">
      <alignment horizontal="left" vertical="top" wrapText="1"/>
    </xf>
    <xf numFmtId="0" fontId="58" fillId="51" borderId="8" xfId="0" applyFont="1" applyFill="1" applyBorder="1" applyAlignment="1">
      <alignment horizontal="center" vertical="center" wrapText="1"/>
    </xf>
    <xf numFmtId="0" fontId="55" fillId="51" borderId="8" xfId="0" applyFont="1" applyFill="1" applyBorder="1" applyAlignment="1">
      <alignment horizontal="center" vertical="center"/>
    </xf>
    <xf numFmtId="0" fontId="59" fillId="51" borderId="8" xfId="0" applyFont="1" applyFill="1" applyBorder="1" applyAlignment="1">
      <alignment vertical="top"/>
    </xf>
    <xf numFmtId="0" fontId="59" fillId="51" borderId="8" xfId="0" applyFont="1" applyFill="1" applyBorder="1" applyAlignment="1">
      <alignment horizontal="center" vertical="center" wrapText="1"/>
    </xf>
    <xf numFmtId="0" fontId="55" fillId="51" borderId="8" xfId="0" applyFont="1" applyFill="1" applyBorder="1" applyAlignment="1">
      <alignment horizontal="center" vertical="center" wrapText="1"/>
    </xf>
    <xf numFmtId="0" fontId="58" fillId="51" borderId="8" xfId="0" applyFont="1" applyFill="1" applyBorder="1" applyAlignment="1">
      <alignment horizontal="left" vertical="top" wrapText="1"/>
    </xf>
    <xf numFmtId="0" fontId="60" fillId="51" borderId="8" xfId="0" applyFont="1" applyFill="1" applyBorder="1" applyAlignment="1">
      <alignment horizontal="center" vertical="center" wrapText="1"/>
    </xf>
    <xf numFmtId="0" fontId="58" fillId="51" borderId="8" xfId="0" applyFont="1" applyFill="1" applyBorder="1" applyAlignment="1">
      <alignment horizontal="center" vertical="center"/>
    </xf>
    <xf numFmtId="0" fontId="59" fillId="52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wrapText="1"/>
    </xf>
    <xf numFmtId="0" fontId="58" fillId="53" borderId="8" xfId="0" applyFont="1" applyFill="1" applyBorder="1" applyAlignment="1">
      <alignment vertical="center" wrapText="1"/>
    </xf>
    <xf numFmtId="0" fontId="59" fillId="53" borderId="8" xfId="0" applyFont="1" applyFill="1" applyBorder="1" applyAlignment="1">
      <alignment horizontal="left" vertical="top" wrapText="1"/>
    </xf>
    <xf numFmtId="0" fontId="58" fillId="53" borderId="8" xfId="0" applyFont="1" applyFill="1" applyBorder="1" applyAlignment="1">
      <alignment horizontal="center" vertical="center" wrapText="1"/>
    </xf>
    <xf numFmtId="0" fontId="55" fillId="53" borderId="8" xfId="0" applyFont="1" applyFill="1" applyBorder="1" applyAlignment="1">
      <alignment horizontal="center" vertical="center"/>
    </xf>
    <xf numFmtId="0" fontId="55" fillId="53" borderId="8" xfId="0" applyFont="1" applyFill="1" applyBorder="1" applyAlignment="1">
      <alignment horizontal="center" vertical="center" wrapText="1"/>
    </xf>
    <xf numFmtId="0" fontId="58" fillId="54" borderId="8" xfId="0" applyFont="1" applyFill="1" applyBorder="1" applyAlignment="1">
      <alignment vertical="center" wrapText="1"/>
    </xf>
    <xf numFmtId="0" fontId="59" fillId="54" borderId="8" xfId="0" applyFont="1" applyFill="1" applyBorder="1" applyAlignment="1">
      <alignment horizontal="left" vertical="top" wrapText="1"/>
    </xf>
    <xf numFmtId="0" fontId="58" fillId="54" borderId="8" xfId="0" applyFont="1" applyFill="1" applyBorder="1" applyAlignment="1">
      <alignment horizontal="center" vertical="center" wrapText="1"/>
    </xf>
    <xf numFmtId="0" fontId="55" fillId="54" borderId="8" xfId="0" applyFont="1" applyFill="1" applyBorder="1" applyAlignment="1">
      <alignment horizontal="center" vertical="center"/>
    </xf>
    <xf numFmtId="0" fontId="60" fillId="54" borderId="8" xfId="0" applyFont="1" applyFill="1" applyBorder="1" applyAlignment="1">
      <alignment horizontal="center" vertical="center" wrapText="1"/>
    </xf>
    <xf numFmtId="0" fontId="58" fillId="54" borderId="8" xfId="0" applyFont="1" applyFill="1" applyBorder="1" applyAlignment="1">
      <alignment horizontal="left" vertical="top" wrapText="1"/>
    </xf>
    <xf numFmtId="0" fontId="60" fillId="34" borderId="0" xfId="0" applyFont="1" applyFill="1" applyAlignment="1">
      <alignment horizontal="left" vertical="top"/>
    </xf>
    <xf numFmtId="0" fontId="59" fillId="54" borderId="8" xfId="0" applyFont="1" applyFill="1" applyBorder="1" applyAlignment="1">
      <alignment horizontal="left" vertical="top"/>
    </xf>
    <xf numFmtId="0" fontId="58" fillId="55" borderId="8" xfId="0" applyFont="1" applyFill="1" applyBorder="1" applyAlignment="1">
      <alignment vertical="center" wrapText="1"/>
    </xf>
    <xf numFmtId="0" fontId="58" fillId="55" borderId="8" xfId="0" applyFont="1" applyFill="1" applyBorder="1" applyAlignment="1">
      <alignment horizontal="left" vertical="top"/>
    </xf>
    <xf numFmtId="0" fontId="58" fillId="55" borderId="8" xfId="0" applyFont="1" applyFill="1" applyBorder="1" applyAlignment="1">
      <alignment horizontal="center" vertical="center" wrapText="1"/>
    </xf>
    <xf numFmtId="0" fontId="60" fillId="55" borderId="8" xfId="0" applyFont="1" applyFill="1" applyBorder="1" applyAlignment="1">
      <alignment horizontal="center" vertical="center"/>
    </xf>
    <xf numFmtId="0" fontId="58" fillId="56" borderId="8" xfId="0" applyFont="1" applyFill="1" applyBorder="1" applyAlignment="1">
      <alignment vertical="center" wrapText="1"/>
    </xf>
    <xf numFmtId="0" fontId="58" fillId="56" borderId="8" xfId="0" applyFont="1" applyFill="1" applyBorder="1" applyAlignment="1">
      <alignment horizontal="left" vertical="top" wrapText="1"/>
    </xf>
    <xf numFmtId="0" fontId="58" fillId="56" borderId="8" xfId="0" applyFont="1" applyFill="1" applyBorder="1" applyAlignment="1">
      <alignment horizontal="center" vertical="center" wrapText="1"/>
    </xf>
    <xf numFmtId="0" fontId="55" fillId="56" borderId="8" xfId="0" applyFont="1" applyFill="1" applyBorder="1" applyAlignment="1">
      <alignment horizontal="center" vertical="center"/>
    </xf>
    <xf numFmtId="0" fontId="60" fillId="56" borderId="8" xfId="0" applyFont="1" applyFill="1" applyBorder="1" applyAlignment="1">
      <alignment horizontal="center" vertical="center" wrapText="1"/>
    </xf>
    <xf numFmtId="0" fontId="60" fillId="56" borderId="8" xfId="0" applyFont="1" applyFill="1" applyBorder="1" applyAlignment="1">
      <alignment horizontal="center" vertical="center"/>
    </xf>
    <xf numFmtId="0" fontId="58" fillId="57" borderId="8" xfId="0" applyFont="1" applyFill="1" applyBorder="1" applyAlignment="1">
      <alignment vertical="center" wrapText="1"/>
    </xf>
    <xf numFmtId="0" fontId="59" fillId="57" borderId="8" xfId="0" applyFont="1" applyFill="1" applyBorder="1" applyAlignment="1">
      <alignment horizontal="left" vertical="top" wrapText="1"/>
    </xf>
    <xf numFmtId="0" fontId="61" fillId="57" borderId="8" xfId="0" applyFont="1" applyFill="1" applyBorder="1" applyAlignment="1">
      <alignment horizontal="center" vertical="center" wrapText="1"/>
    </xf>
    <xf numFmtId="0" fontId="55" fillId="57" borderId="8" xfId="0" applyFont="1" applyFill="1" applyBorder="1" applyAlignment="1">
      <alignment horizontal="center" vertical="center"/>
    </xf>
    <xf numFmtId="0" fontId="55" fillId="57" borderId="8" xfId="0" applyFont="1" applyFill="1" applyBorder="1" applyAlignment="1">
      <alignment horizontal="center" vertical="center" wrapText="1"/>
    </xf>
    <xf numFmtId="0" fontId="58" fillId="58" borderId="8" xfId="0" applyFont="1" applyFill="1" applyBorder="1" applyAlignment="1">
      <alignment vertical="center" wrapText="1"/>
    </xf>
    <xf numFmtId="0" fontId="59" fillId="58" borderId="8" xfId="0" applyFont="1" applyFill="1" applyBorder="1" applyAlignment="1">
      <alignment horizontal="left" vertical="top" wrapText="1"/>
    </xf>
    <xf numFmtId="0" fontId="61" fillId="58" borderId="8" xfId="0" applyFont="1" applyFill="1" applyBorder="1" applyAlignment="1">
      <alignment horizontal="center" vertical="center" wrapText="1"/>
    </xf>
    <xf numFmtId="0" fontId="55" fillId="58" borderId="8" xfId="0" applyFont="1" applyFill="1" applyBorder="1" applyAlignment="1">
      <alignment horizontal="center" vertical="center"/>
    </xf>
    <xf numFmtId="0" fontId="55" fillId="58" borderId="8" xfId="0" applyFont="1" applyFill="1" applyBorder="1" applyAlignment="1">
      <alignment horizontal="center" vertical="center" wrapText="1"/>
    </xf>
    <xf numFmtId="0" fontId="58" fillId="59" borderId="8" xfId="0" applyFont="1" applyFill="1" applyBorder="1" applyAlignment="1">
      <alignment vertical="center" wrapText="1"/>
    </xf>
    <xf numFmtId="0" fontId="59" fillId="59" borderId="8" xfId="0" applyFont="1" applyFill="1" applyBorder="1" applyAlignment="1">
      <alignment horizontal="left" vertical="top" wrapText="1"/>
    </xf>
    <xf numFmtId="0" fontId="58" fillId="59" borderId="8" xfId="0" applyFont="1" applyFill="1" applyBorder="1" applyAlignment="1">
      <alignment horizontal="center" vertical="center" wrapText="1"/>
    </xf>
    <xf numFmtId="0" fontId="55" fillId="59" borderId="8" xfId="0" applyFont="1" applyFill="1" applyBorder="1" applyAlignment="1">
      <alignment horizontal="center" vertical="center"/>
    </xf>
    <xf numFmtId="0" fontId="55" fillId="59" borderId="8" xfId="0" applyFont="1" applyFill="1" applyBorder="1" applyAlignment="1">
      <alignment horizontal="center" vertical="center" wrapText="1"/>
    </xf>
    <xf numFmtId="0" fontId="58" fillId="59" borderId="8" xfId="0" applyFont="1" applyFill="1" applyBorder="1" applyAlignment="1">
      <alignment horizontal="left" vertical="center" wrapText="1"/>
    </xf>
    <xf numFmtId="0" fontId="58" fillId="59" borderId="8" xfId="0" applyFont="1" applyFill="1" applyBorder="1" applyAlignment="1">
      <alignment horizontal="center" vertical="center"/>
    </xf>
    <xf numFmtId="0" fontId="60" fillId="59" borderId="8" xfId="0" applyFont="1" applyFill="1" applyBorder="1" applyAlignment="1">
      <alignment horizontal="center" vertical="center"/>
    </xf>
    <xf numFmtId="0" fontId="58" fillId="57" borderId="8" xfId="0" applyFont="1" applyFill="1" applyBorder="1" applyAlignment="1">
      <alignment horizontal="left" vertical="center" wrapText="1"/>
    </xf>
    <xf numFmtId="0" fontId="58" fillId="57" borderId="8" xfId="0" applyFont="1" applyFill="1" applyBorder="1" applyAlignment="1">
      <alignment horizontal="center" vertical="center" wrapText="1"/>
    </xf>
    <xf numFmtId="0" fontId="60" fillId="57" borderId="8" xfId="0" applyFont="1" applyFill="1" applyBorder="1" applyAlignment="1">
      <alignment horizontal="center" vertical="center"/>
    </xf>
    <xf numFmtId="0" fontId="58" fillId="60" borderId="8" xfId="0" applyFont="1" applyFill="1" applyBorder="1" applyAlignment="1">
      <alignment vertical="center" wrapText="1"/>
    </xf>
    <xf numFmtId="0" fontId="59" fillId="60" borderId="8" xfId="0" applyFont="1" applyFill="1" applyBorder="1" applyAlignment="1">
      <alignment horizontal="left" vertical="top" wrapText="1"/>
    </xf>
    <xf numFmtId="0" fontId="58" fillId="60" borderId="8" xfId="0" applyFont="1" applyFill="1" applyBorder="1" applyAlignment="1">
      <alignment horizontal="center" vertical="center" wrapText="1"/>
    </xf>
    <xf numFmtId="0" fontId="55" fillId="60" borderId="8" xfId="0" applyFont="1" applyFill="1" applyBorder="1" applyAlignment="1">
      <alignment horizontal="center" vertical="center"/>
    </xf>
    <xf numFmtId="0" fontId="59" fillId="60" borderId="8" xfId="0" applyFont="1" applyFill="1" applyBorder="1" applyAlignment="1">
      <alignment horizontal="center" vertical="center" wrapText="1"/>
    </xf>
    <xf numFmtId="0" fontId="55" fillId="60" borderId="8" xfId="0" applyFont="1" applyFill="1" applyBorder="1" applyAlignment="1">
      <alignment horizontal="center" vertical="center" wrapText="1"/>
    </xf>
    <xf numFmtId="0" fontId="59" fillId="55" borderId="8" xfId="0" applyFont="1" applyFill="1" applyBorder="1" applyAlignment="1">
      <alignment horizontal="left" vertical="top" wrapText="1"/>
    </xf>
    <xf numFmtId="0" fontId="59" fillId="55" borderId="8" xfId="0" applyFont="1" applyFill="1" applyBorder="1" applyAlignment="1">
      <alignment horizontal="center" vertical="center" wrapText="1"/>
    </xf>
    <xf numFmtId="0" fontId="55" fillId="55" borderId="8" xfId="0" applyFont="1" applyFill="1" applyBorder="1" applyAlignment="1">
      <alignment horizontal="center" vertical="center"/>
    </xf>
    <xf numFmtId="0" fontId="58" fillId="55" borderId="8" xfId="0" applyFont="1" applyFill="1" applyBorder="1" applyAlignment="1">
      <alignment horizontal="left" vertical="top" wrapText="1"/>
    </xf>
    <xf numFmtId="0" fontId="55" fillId="55" borderId="8" xfId="0" applyFont="1" applyFill="1" applyBorder="1" applyAlignment="1">
      <alignment horizontal="center" vertical="center" wrapText="1"/>
    </xf>
    <xf numFmtId="0" fontId="59" fillId="55" borderId="8" xfId="0" applyFont="1" applyFill="1" applyBorder="1" applyAlignment="1">
      <alignment horizontal="center" vertical="center"/>
    </xf>
    <xf numFmtId="0" fontId="58" fillId="35" borderId="8" xfId="0" applyFont="1" applyFill="1" applyBorder="1" applyAlignment="1">
      <alignment vertical="center" wrapText="1"/>
    </xf>
    <xf numFmtId="0" fontId="59" fillId="35" borderId="8" xfId="0" applyFont="1" applyFill="1" applyBorder="1" applyAlignment="1">
      <alignment horizontal="left" vertical="top" wrapText="1"/>
    </xf>
    <xf numFmtId="0" fontId="58" fillId="35" borderId="8" xfId="0" applyFont="1" applyFill="1" applyBorder="1" applyAlignment="1">
      <alignment horizontal="center" vertical="center" wrapText="1"/>
    </xf>
    <xf numFmtId="0" fontId="55" fillId="35" borderId="8" xfId="0" applyFont="1" applyFill="1" applyBorder="1" applyAlignment="1">
      <alignment horizontal="center" vertical="center"/>
    </xf>
    <xf numFmtId="0" fontId="55" fillId="35" borderId="8" xfId="0" applyFont="1" applyFill="1" applyBorder="1" applyAlignment="1">
      <alignment horizontal="center" vertical="center" wrapText="1"/>
    </xf>
    <xf numFmtId="0" fontId="59" fillId="35" borderId="8" xfId="0" applyFont="1" applyFill="1" applyBorder="1" applyAlignment="1">
      <alignment horizontal="left" vertical="top"/>
    </xf>
    <xf numFmtId="0" fontId="59" fillId="35" borderId="8" xfId="0" applyFont="1" applyFill="1" applyBorder="1" applyAlignment="1">
      <alignment horizontal="center" vertical="center"/>
    </xf>
    <xf numFmtId="0" fontId="59" fillId="35" borderId="8" xfId="0" applyFont="1" applyFill="1" applyBorder="1" applyAlignment="1">
      <alignment horizontal="left" vertical="center" wrapText="1"/>
    </xf>
    <xf numFmtId="0" fontId="58" fillId="35" borderId="8" xfId="0" applyFont="1" applyFill="1" applyBorder="1" applyAlignment="1">
      <alignment horizontal="left" vertical="center" wrapText="1"/>
    </xf>
    <xf numFmtId="0" fontId="60" fillId="35" borderId="8" xfId="0" applyFont="1" applyFill="1" applyBorder="1" applyAlignment="1">
      <alignment horizontal="center" vertical="center" wrapText="1"/>
    </xf>
    <xf numFmtId="0" fontId="59" fillId="34" borderId="0" xfId="0" applyFont="1" applyFill="1" applyAlignment="1">
      <alignment horizontal="left" vertical="center"/>
    </xf>
    <xf numFmtId="0" fontId="59" fillId="34" borderId="0" xfId="0" applyFont="1" applyFill="1" applyAlignment="1">
      <alignment horizontal="left" vertical="top"/>
    </xf>
    <xf numFmtId="0" fontId="62" fillId="34" borderId="0" xfId="0" applyFont="1" applyFill="1" applyAlignment="1">
      <alignment horizontal="left" vertical="center" wrapText="1"/>
    </xf>
    <xf numFmtId="0" fontId="62" fillId="34" borderId="0" xfId="0" applyFont="1" applyFill="1" applyAlignment="1">
      <alignment horizontal="left" vertical="top" wrapText="1"/>
    </xf>
    <xf numFmtId="0" fontId="63" fillId="34" borderId="0" xfId="0" applyFont="1" applyFill="1" applyAlignment="1">
      <alignment horizontal="left" vertical="top" wrapText="1"/>
    </xf>
    <xf numFmtId="0" fontId="59" fillId="34" borderId="0" xfId="0" applyFont="1" applyFill="1" applyAlignment="1">
      <alignment vertical="center" wrapText="1"/>
    </xf>
    <xf numFmtId="0" fontId="55" fillId="34" borderId="0" xfId="0" applyFont="1" applyFill="1" applyAlignment="1">
      <alignment vertical="center" wrapText="1"/>
    </xf>
    <xf numFmtId="0" fontId="61" fillId="34" borderId="0" xfId="0" applyFont="1" applyFill="1" applyAlignment="1">
      <alignment horizontal="left" vertical="top"/>
    </xf>
    <xf numFmtId="0" fontId="64" fillId="34" borderId="0" xfId="0" applyFont="1" applyFill="1" applyAlignment="1">
      <alignment horizontal="left" vertical="top"/>
    </xf>
    <xf numFmtId="0" fontId="14" fillId="0" borderId="0" xfId="54" applyFont="1" applyAlignment="1">
      <alignment horizontal="left"/>
    </xf>
    <xf numFmtId="0" fontId="33" fillId="0" borderId="0" xfId="54" applyAlignment="1">
      <alignment horizontal="left"/>
    </xf>
    <xf numFmtId="0" fontId="0" fillId="0" borderId="0" xfId="0" applyAlignment="1">
      <alignment horizontal="left" vertical="top"/>
    </xf>
    <xf numFmtId="0" fontId="9" fillId="34" borderId="0" xfId="0" applyFont="1" applyFill="1" applyAlignment="1">
      <alignment horizontal="left" vertical="center"/>
    </xf>
    <xf numFmtId="0" fontId="0" fillId="34" borderId="0" xfId="11" applyFont="1" applyFill="1" applyAlignment="1">
      <alignment horizontal="center" vertical="center" wrapText="1"/>
    </xf>
    <xf numFmtId="0" fontId="0" fillId="34" borderId="7" xfId="11" applyFont="1" applyFill="1" applyBorder="1" applyAlignment="1">
      <alignment horizontal="center" vertical="center" wrapText="1"/>
    </xf>
    <xf numFmtId="1" fontId="0" fillId="34" borderId="7" xfId="12" applyFont="1" applyFill="1" applyBorder="1">
      <alignment horizontal="center" vertical="center"/>
    </xf>
    <xf numFmtId="0" fontId="14" fillId="0" borderId="0" xfId="54" applyFont="1" applyAlignment="1">
      <alignment horizontal="left" vertical="center"/>
    </xf>
    <xf numFmtId="0" fontId="65" fillId="34" borderId="0" xfId="0" applyFont="1" applyFill="1" applyAlignment="1">
      <alignment horizontal="center" vertical="center"/>
    </xf>
    <xf numFmtId="0" fontId="40" fillId="34" borderId="0" xfId="0" applyFont="1" applyFill="1">
      <alignment vertical="center"/>
    </xf>
    <xf numFmtId="0" fontId="43" fillId="35" borderId="0" xfId="11" applyFont="1" applyFill="1" applyAlignment="1">
      <alignment horizontal="center" vertical="center" wrapText="1"/>
    </xf>
    <xf numFmtId="167" fontId="42" fillId="35" borderId="0" xfId="0" applyNumberFormat="1" applyFont="1" applyFill="1" applyAlignment="1">
      <alignment horizontal="center" vertical="center"/>
    </xf>
    <xf numFmtId="0" fontId="46" fillId="35" borderId="0" xfId="11" applyFont="1" applyFill="1" applyAlignment="1">
      <alignment horizontal="center" vertical="center" wrapText="1"/>
    </xf>
    <xf numFmtId="1" fontId="46" fillId="35" borderId="0" xfId="12" applyFont="1" applyFill="1">
      <alignment horizontal="center" vertical="center"/>
    </xf>
    <xf numFmtId="167" fontId="0" fillId="34" borderId="0" xfId="0" applyNumberForma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167" fontId="65" fillId="34" borderId="7" xfId="0" applyNumberFormat="1" applyFont="1" applyFill="1" applyBorder="1" applyAlignment="1">
      <alignment horizontal="center" vertical="center"/>
    </xf>
    <xf numFmtId="167" fontId="65" fillId="0" borderId="0" xfId="0" applyNumberFormat="1" applyFont="1" applyAlignment="1">
      <alignment horizontal="center" vertical="center"/>
    </xf>
    <xf numFmtId="0" fontId="67" fillId="0" borderId="0" xfId="0" applyFont="1">
      <alignment vertical="center"/>
    </xf>
    <xf numFmtId="0" fontId="68" fillId="0" borderId="0" xfId="1" applyFont="1" applyBorder="1" applyAlignment="1">
      <alignment vertical="center"/>
    </xf>
    <xf numFmtId="0" fontId="66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6" fontId="0" fillId="40" borderId="0" xfId="0" applyNumberFormat="1" applyFill="1" applyAlignment="1">
      <alignment horizontal="center" vertical="center"/>
    </xf>
    <xf numFmtId="0" fontId="27" fillId="0" borderId="1" xfId="1" applyFont="1" applyAlignment="1">
      <alignment horizontal="center" vertical="center"/>
    </xf>
    <xf numFmtId="0" fontId="29" fillId="0" borderId="1" xfId="1" applyFont="1" applyAlignment="1"/>
    <xf numFmtId="0" fontId="29" fillId="0" borderId="1" xfId="1" applyFont="1" applyAlignment="1">
      <alignment horizontal="center"/>
    </xf>
    <xf numFmtId="0" fontId="27" fillId="0" borderId="1" xfId="1" applyFont="1" applyAlignment="1"/>
    <xf numFmtId="0" fontId="0" fillId="0" borderId="0" xfId="0" applyAlignment="1"/>
    <xf numFmtId="0" fontId="31" fillId="36" borderId="0" xfId="0" applyFont="1" applyFill="1" applyAlignment="1">
      <alignment horizontal="center"/>
    </xf>
    <xf numFmtId="0" fontId="31" fillId="3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3" fillId="34" borderId="7" xfId="11" applyFont="1" applyFill="1" applyBorder="1" applyAlignment="1">
      <alignment horizontal="center" wrapText="1"/>
    </xf>
    <xf numFmtId="167" fontId="42" fillId="34" borderId="7" xfId="0" applyNumberFormat="1" applyFont="1" applyFill="1" applyBorder="1" applyAlignment="1">
      <alignment horizontal="center"/>
    </xf>
    <xf numFmtId="167" fontId="0" fillId="0" borderId="0" xfId="0" applyNumberFormat="1" applyAlignment="1"/>
    <xf numFmtId="0" fontId="45" fillId="61" borderId="0" xfId="0" applyFont="1" applyFill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69" fillId="0" borderId="0" xfId="0" applyFont="1" applyAlignment="1">
      <alignment horizontal="left" vertical="center"/>
    </xf>
    <xf numFmtId="0" fontId="71" fillId="35" borderId="12" xfId="55" applyFont="1" applyFill="1" applyBorder="1" applyAlignment="1">
      <alignment horizontal="center" vertical="center"/>
    </xf>
    <xf numFmtId="0" fontId="71" fillId="0" borderId="12" xfId="55" applyFont="1" applyBorder="1" applyAlignment="1">
      <alignment horizontal="center" vertical="center"/>
    </xf>
    <xf numFmtId="0" fontId="71" fillId="0" borderId="12" xfId="55" applyFont="1" applyBorder="1">
      <alignment vertical="center"/>
    </xf>
    <xf numFmtId="0" fontId="71" fillId="0" borderId="0" xfId="55" applyFont="1" applyAlignment="1">
      <alignment horizontal="center" vertical="center"/>
    </xf>
    <xf numFmtId="0" fontId="71" fillId="0" borderId="0" xfId="55" applyFont="1">
      <alignment vertical="center"/>
    </xf>
    <xf numFmtId="0" fontId="71" fillId="0" borderId="12" xfId="56" applyFont="1" applyBorder="1" applyAlignment="1">
      <alignment horizontal="center" vertical="center"/>
    </xf>
    <xf numFmtId="0" fontId="71" fillId="0" borderId="12" xfId="56" applyFont="1" applyBorder="1" applyAlignment="1">
      <alignment vertical="center"/>
    </xf>
    <xf numFmtId="0" fontId="71" fillId="35" borderId="12" xfId="57" applyFont="1" applyFill="1" applyBorder="1" applyAlignment="1">
      <alignment horizontal="center" vertical="center"/>
    </xf>
    <xf numFmtId="0" fontId="71" fillId="0" borderId="12" xfId="57" applyFont="1" applyBorder="1" applyAlignment="1">
      <alignment horizontal="center" vertical="center"/>
    </xf>
    <xf numFmtId="0" fontId="71" fillId="62" borderId="12" xfId="57" applyFont="1" applyFill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3" fillId="0" borderId="0" xfId="55" applyFont="1" applyAlignment="1">
      <alignment horizontal="center" vertical="center"/>
    </xf>
    <xf numFmtId="0" fontId="0" fillId="63" borderId="0" xfId="0" applyFill="1">
      <alignment vertical="center"/>
    </xf>
    <xf numFmtId="0" fontId="0" fillId="64" borderId="0" xfId="0" applyFill="1">
      <alignment vertical="center"/>
    </xf>
    <xf numFmtId="0" fontId="74" fillId="40" borderId="0" xfId="0" applyFont="1" applyFill="1" applyAlignment="1">
      <alignment horizontal="center" vertical="top" wrapText="1"/>
    </xf>
    <xf numFmtId="0" fontId="76" fillId="0" borderId="0" xfId="0" applyFont="1" applyAlignment="1">
      <alignment horizontal="center" vertical="top"/>
    </xf>
    <xf numFmtId="0" fontId="77" fillId="0" borderId="0" xfId="0" applyFont="1" applyAlignment="1">
      <alignment horizontal="center" vertical="top"/>
    </xf>
    <xf numFmtId="0" fontId="77" fillId="0" borderId="0" xfId="0" applyFont="1" applyAlignment="1">
      <alignment horizontal="center" vertical="top" wrapText="1"/>
    </xf>
    <xf numFmtId="1" fontId="80" fillId="0" borderId="0" xfId="0" applyNumberFormat="1" applyFont="1" applyAlignment="1">
      <alignment horizontal="center" vertical="top" shrinkToFit="1"/>
    </xf>
    <xf numFmtId="0" fontId="74" fillId="0" borderId="0" xfId="0" applyFont="1" applyAlignment="1">
      <alignment horizontal="center" vertical="top" wrapText="1"/>
    </xf>
    <xf numFmtId="1" fontId="79" fillId="0" borderId="0" xfId="0" applyNumberFormat="1" applyFont="1" applyAlignment="1">
      <alignment horizontal="center" vertical="top" shrinkToFit="1"/>
    </xf>
    <xf numFmtId="2" fontId="79" fillId="0" borderId="0" xfId="0" applyNumberFormat="1" applyFont="1" applyAlignment="1">
      <alignment horizontal="center" vertical="top" shrinkToFit="1"/>
    </xf>
    <xf numFmtId="1" fontId="84" fillId="0" borderId="0" xfId="0" applyNumberFormat="1" applyFont="1" applyAlignment="1">
      <alignment horizontal="center" vertical="top" shrinkToFit="1"/>
    </xf>
    <xf numFmtId="0" fontId="86" fillId="0" borderId="0" xfId="0" applyFont="1" applyAlignment="1">
      <alignment horizontal="center" vertical="center"/>
    </xf>
    <xf numFmtId="0" fontId="87" fillId="0" borderId="0" xfId="0" applyFont="1" applyAlignment="1">
      <alignment horizontal="center" vertical="top" wrapText="1"/>
    </xf>
    <xf numFmtId="168" fontId="79" fillId="0" borderId="0" xfId="0" applyNumberFormat="1" applyFont="1" applyAlignment="1">
      <alignment horizontal="center" vertical="top" shrinkToFit="1"/>
    </xf>
    <xf numFmtId="2" fontId="78" fillId="0" borderId="0" xfId="0" applyNumberFormat="1" applyFont="1" applyAlignment="1">
      <alignment horizontal="center" vertical="top" shrinkToFit="1"/>
    </xf>
    <xf numFmtId="0" fontId="88" fillId="0" borderId="0" xfId="0" applyFont="1" applyAlignment="1">
      <alignment horizontal="center" vertical="center"/>
    </xf>
    <xf numFmtId="0" fontId="85" fillId="0" borderId="0" xfId="0" quotePrefix="1" applyFont="1" applyAlignment="1">
      <alignment horizontal="center" vertical="top" wrapText="1"/>
    </xf>
    <xf numFmtId="0" fontId="86" fillId="35" borderId="0" xfId="0" applyFont="1" applyFill="1" applyAlignment="1">
      <alignment horizontal="center" vertical="center"/>
    </xf>
    <xf numFmtId="0" fontId="86" fillId="34" borderId="0" xfId="0" applyFont="1" applyFill="1" applyAlignment="1">
      <alignment horizontal="center" vertical="center"/>
    </xf>
    <xf numFmtId="0" fontId="90" fillId="35" borderId="0" xfId="0" applyFont="1" applyFill="1" applyAlignment="1">
      <alignment horizontal="center" vertical="center"/>
    </xf>
    <xf numFmtId="0" fontId="90" fillId="34" borderId="0" xfId="0" applyFont="1" applyFill="1" applyAlignment="1">
      <alignment horizontal="center" vertical="center"/>
    </xf>
    <xf numFmtId="2" fontId="80" fillId="0" borderId="0" xfId="0" applyNumberFormat="1" applyFont="1" applyAlignment="1">
      <alignment horizontal="center" vertical="top" shrinkToFit="1"/>
    </xf>
    <xf numFmtId="1" fontId="78" fillId="0" borderId="0" xfId="0" applyNumberFormat="1" applyFont="1" applyAlignment="1">
      <alignment horizontal="center" vertical="top" shrinkToFit="1"/>
    </xf>
    <xf numFmtId="169" fontId="79" fillId="0" borderId="0" xfId="0" applyNumberFormat="1" applyFont="1" applyAlignment="1">
      <alignment horizontal="center" vertical="top" shrinkToFit="1"/>
    </xf>
    <xf numFmtId="0" fontId="9" fillId="34" borderId="0" xfId="0" applyFont="1" applyFill="1" applyAlignment="1">
      <alignment horizontal="center" vertical="center"/>
    </xf>
    <xf numFmtId="0" fontId="45" fillId="0" borderId="0" xfId="0" applyFont="1">
      <alignment vertical="center"/>
    </xf>
    <xf numFmtId="0" fontId="77" fillId="40" borderId="0" xfId="0" applyFont="1" applyFill="1" applyAlignment="1">
      <alignment horizontal="center" vertical="top"/>
    </xf>
    <xf numFmtId="0" fontId="23" fillId="35" borderId="0" xfId="0" applyFont="1" applyFill="1" applyAlignment="1">
      <alignment horizontal="center" vertical="center"/>
    </xf>
    <xf numFmtId="0" fontId="23" fillId="34" borderId="0" xfId="0" applyFont="1" applyFill="1">
      <alignment vertical="center"/>
    </xf>
    <xf numFmtId="0" fontId="92" fillId="0" borderId="0" xfId="0" applyFont="1" applyAlignment="1">
      <alignment horizontal="center" vertical="center"/>
    </xf>
    <xf numFmtId="170" fontId="77" fillId="0" borderId="0" xfId="0" applyNumberFormat="1" applyFont="1" applyAlignment="1">
      <alignment horizontal="center" vertical="top" wrapText="1"/>
    </xf>
    <xf numFmtId="0" fontId="91" fillId="0" borderId="0" xfId="0" applyFont="1" applyAlignment="1">
      <alignment horizontal="center" vertical="center"/>
    </xf>
    <xf numFmtId="170" fontId="77" fillId="0" borderId="0" xfId="0" applyNumberFormat="1" applyFont="1" applyAlignment="1">
      <alignment horizontal="center" wrapText="1"/>
    </xf>
    <xf numFmtId="1" fontId="80" fillId="0" borderId="0" xfId="0" applyNumberFormat="1" applyFont="1" applyAlignment="1">
      <alignment horizontal="center" shrinkToFit="1"/>
    </xf>
    <xf numFmtId="0" fontId="74" fillId="0" borderId="0" xfId="0" applyFont="1" applyAlignment="1">
      <alignment horizontal="center" wrapText="1"/>
    </xf>
    <xf numFmtId="0" fontId="77" fillId="0" borderId="0" xfId="0" applyFont="1" applyAlignment="1">
      <alignment horizontal="center" wrapText="1"/>
    </xf>
    <xf numFmtId="0" fontId="92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85" fillId="0" borderId="0" xfId="0" quotePrefix="1" applyFont="1" applyAlignment="1">
      <alignment horizontal="center" wrapText="1"/>
    </xf>
    <xf numFmtId="0" fontId="77" fillId="0" borderId="0" xfId="0" applyFont="1" applyAlignment="1">
      <alignment horizontal="center" vertical="center"/>
    </xf>
    <xf numFmtId="0" fontId="0" fillId="65" borderId="0" xfId="0" applyFill="1">
      <alignment vertical="center"/>
    </xf>
    <xf numFmtId="0" fontId="0" fillId="34" borderId="0" xfId="0" applyFill="1" applyAlignment="1">
      <alignment horizontal="center"/>
    </xf>
    <xf numFmtId="0" fontId="33" fillId="0" borderId="0" xfId="54" applyAlignment="1">
      <alignment horizontal="left" vertical="center"/>
    </xf>
    <xf numFmtId="0" fontId="33" fillId="0" borderId="0" xfId="59" applyAlignment="1">
      <alignment horizontal="left" vertical="center"/>
    </xf>
    <xf numFmtId="0" fontId="33" fillId="0" borderId="0" xfId="54">
      <alignment vertical="center"/>
    </xf>
    <xf numFmtId="0" fontId="93" fillId="0" borderId="0" xfId="1" applyFont="1" applyBorder="1" applyAlignment="1">
      <alignment vertical="center"/>
    </xf>
    <xf numFmtId="0" fontId="93" fillId="0" borderId="0" xfId="1" applyFont="1" applyBorder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76" fillId="34" borderId="0" xfId="0" applyFont="1" applyFill="1" applyAlignment="1">
      <alignment horizontal="center" vertical="top"/>
    </xf>
    <xf numFmtId="0" fontId="0" fillId="57" borderId="0" xfId="0" applyFill="1" applyAlignment="1">
      <alignment horizontal="center" vertical="center"/>
    </xf>
    <xf numFmtId="1" fontId="0" fillId="34" borderId="0" xfId="12" applyFont="1" applyFill="1">
      <alignment horizontal="center" vertical="center"/>
    </xf>
    <xf numFmtId="167" fontId="65" fillId="34" borderId="0" xfId="0" applyNumberFormat="1" applyFont="1" applyFill="1" applyAlignment="1">
      <alignment horizontal="center" vertical="center"/>
    </xf>
    <xf numFmtId="1" fontId="95" fillId="0" borderId="0" xfId="0" applyNumberFormat="1" applyFont="1" applyAlignment="1">
      <alignment horizontal="center" vertical="top" shrinkToFit="1"/>
    </xf>
    <xf numFmtId="2" fontId="97" fillId="0" borderId="0" xfId="0" applyNumberFormat="1" applyFont="1" applyAlignment="1">
      <alignment horizontal="center" vertical="top" shrinkToFit="1"/>
    </xf>
    <xf numFmtId="1" fontId="98" fillId="0" borderId="0" xfId="0" applyNumberFormat="1" applyFont="1" applyAlignment="1">
      <alignment horizontal="center" vertical="top" shrinkToFit="1"/>
    </xf>
    <xf numFmtId="0" fontId="99" fillId="0" borderId="0" xfId="0" applyFont="1" applyAlignment="1">
      <alignment horizontal="center" vertical="top"/>
    </xf>
    <xf numFmtId="0" fontId="100" fillId="0" borderId="0" xfId="0" applyFont="1" applyAlignment="1">
      <alignment horizontal="center" vertical="center"/>
    </xf>
    <xf numFmtId="167" fontId="44" fillId="34" borderId="7" xfId="0" applyNumberFormat="1" applyFont="1" applyFill="1" applyBorder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76" fillId="39" borderId="0" xfId="0" applyFont="1" applyFill="1" applyAlignment="1">
      <alignment horizontal="center" vertical="top"/>
    </xf>
    <xf numFmtId="167" fontId="44" fillId="35" borderId="0" xfId="0" applyNumberFormat="1" applyFont="1" applyFill="1" applyAlignment="1">
      <alignment horizontal="center" vertical="center"/>
    </xf>
    <xf numFmtId="0" fontId="102" fillId="0" borderId="0" xfId="0" applyFont="1">
      <alignment vertical="center"/>
    </xf>
    <xf numFmtId="0" fontId="46" fillId="0" borderId="14" xfId="0" applyFont="1" applyBorder="1" applyAlignment="1">
      <alignment horizontal="center" vertical="center"/>
    </xf>
    <xf numFmtId="0" fontId="103" fillId="34" borderId="14" xfId="0" applyFont="1" applyFill="1" applyBorder="1" applyAlignment="1">
      <alignment horizontal="center" vertical="center"/>
    </xf>
    <xf numFmtId="0" fontId="104" fillId="34" borderId="14" xfId="0" applyFont="1" applyFill="1" applyBorder="1" applyAlignment="1">
      <alignment horizontal="center" vertical="center"/>
    </xf>
    <xf numFmtId="0" fontId="105" fillId="34" borderId="14" xfId="0" applyFont="1" applyFill="1" applyBorder="1" applyAlignment="1">
      <alignment horizontal="center" vertical="center"/>
    </xf>
    <xf numFmtId="0" fontId="105" fillId="0" borderId="14" xfId="0" applyFont="1" applyBorder="1" applyAlignment="1">
      <alignment horizontal="center" vertical="center"/>
    </xf>
    <xf numFmtId="0" fontId="105" fillId="0" borderId="16" xfId="0" applyFont="1" applyBorder="1" applyAlignment="1">
      <alignment horizontal="center" vertical="center"/>
    </xf>
    <xf numFmtId="0" fontId="105" fillId="34" borderId="15" xfId="0" applyFont="1" applyFill="1" applyBorder="1" applyAlignment="1">
      <alignment horizontal="center" vertical="center"/>
    </xf>
    <xf numFmtId="0" fontId="105" fillId="34" borderId="17" xfId="0" applyFont="1" applyFill="1" applyBorder="1" applyAlignment="1">
      <alignment horizontal="center" vertical="center"/>
    </xf>
    <xf numFmtId="0" fontId="71" fillId="34" borderId="12" xfId="55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76" fillId="0" borderId="0" xfId="0" applyFont="1" applyAlignment="1">
      <alignment horizontal="center" vertical="center"/>
    </xf>
    <xf numFmtId="0" fontId="109" fillId="64" borderId="8" xfId="60" applyFont="1" applyFill="1" applyBorder="1" applyAlignment="1">
      <alignment horizontal="center" vertical="center" wrapText="1"/>
    </xf>
    <xf numFmtId="0" fontId="3" fillId="0" borderId="8" xfId="60" applyBorder="1" applyAlignment="1">
      <alignment horizontal="center" vertical="center" wrapText="1"/>
    </xf>
    <xf numFmtId="0" fontId="3" fillId="0" borderId="8" xfId="60" applyBorder="1" applyAlignment="1">
      <alignment horizontal="center"/>
    </xf>
    <xf numFmtId="0" fontId="3" fillId="0" borderId="8" xfId="60" applyBorder="1"/>
    <xf numFmtId="1" fontId="3" fillId="0" borderId="8" xfId="60" applyNumberFormat="1" applyBorder="1" applyAlignment="1">
      <alignment horizontal="center"/>
    </xf>
    <xf numFmtId="14" fontId="3" fillId="0" borderId="8" xfId="60" applyNumberFormat="1" applyBorder="1"/>
    <xf numFmtId="0" fontId="3" fillId="39" borderId="8" xfId="60" applyFill="1" applyBorder="1" applyAlignment="1">
      <alignment horizontal="center"/>
    </xf>
    <xf numFmtId="0" fontId="107" fillId="0" borderId="8" xfId="60" applyFont="1" applyBorder="1" applyAlignment="1">
      <alignment horizontal="center"/>
    </xf>
    <xf numFmtId="14" fontId="3" fillId="0" borderId="8" xfId="60" applyNumberFormat="1" applyBorder="1" applyAlignment="1">
      <alignment horizontal="center"/>
    </xf>
    <xf numFmtId="0" fontId="108" fillId="0" borderId="8" xfId="60" applyFont="1" applyBorder="1" applyAlignment="1">
      <alignment horizontal="center"/>
    </xf>
    <xf numFmtId="0" fontId="33" fillId="0" borderId="8" xfId="61" applyBorder="1" applyAlignment="1">
      <alignment horizontal="center"/>
    </xf>
    <xf numFmtId="0" fontId="107" fillId="39" borderId="8" xfId="60" applyFont="1" applyFill="1" applyBorder="1" applyAlignment="1">
      <alignment horizontal="center"/>
    </xf>
    <xf numFmtId="0" fontId="108" fillId="39" borderId="8" xfId="60" applyFont="1" applyFill="1" applyBorder="1" applyAlignment="1">
      <alignment horizontal="center"/>
    </xf>
    <xf numFmtId="0" fontId="3" fillId="34" borderId="8" xfId="60" applyFill="1" applyBorder="1"/>
    <xf numFmtId="0" fontId="43" fillId="0" borderId="8" xfId="60" applyFont="1" applyBorder="1"/>
    <xf numFmtId="0" fontId="71" fillId="39" borderId="12" xfId="57" applyFont="1" applyFill="1" applyBorder="1" applyAlignment="1">
      <alignment horizontal="center" vertical="center"/>
    </xf>
    <xf numFmtId="0" fontId="33" fillId="0" borderId="0" xfId="59" applyFill="1">
      <alignment vertical="center"/>
    </xf>
    <xf numFmtId="0" fontId="0" fillId="40" borderId="0" xfId="0" applyFill="1" applyAlignment="1">
      <alignment horizontal="left" vertical="center"/>
    </xf>
    <xf numFmtId="1" fontId="98" fillId="0" borderId="0" xfId="0" applyNumberFormat="1" applyFont="1" applyAlignment="1">
      <alignment horizontal="center" vertical="center" shrinkToFit="1"/>
    </xf>
    <xf numFmtId="1" fontId="96" fillId="0" borderId="0" xfId="0" applyNumberFormat="1" applyFont="1" applyAlignment="1">
      <alignment horizontal="center" vertical="center" shrinkToFit="1"/>
    </xf>
    <xf numFmtId="1" fontId="96" fillId="34" borderId="0" xfId="0" applyNumberFormat="1" applyFont="1" applyFill="1" applyAlignment="1">
      <alignment horizontal="center" vertical="center" shrinkToFit="1"/>
    </xf>
    <xf numFmtId="0" fontId="110" fillId="0" borderId="0" xfId="0" applyFont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9" fillId="35" borderId="0" xfId="0" applyFont="1" applyFill="1" applyAlignment="1">
      <alignment horizontal="center"/>
    </xf>
    <xf numFmtId="0" fontId="0" fillId="63" borderId="0" xfId="0" applyFill="1" applyAlignment="1">
      <alignment horizontal="center" vertical="center"/>
    </xf>
    <xf numFmtId="0" fontId="49" fillId="0" borderId="1" xfId="1" applyFont="1" applyAlignment="1">
      <alignment horizontal="center" vertical="center"/>
    </xf>
    <xf numFmtId="0" fontId="111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 vertical="center"/>
    </xf>
    <xf numFmtId="0" fontId="9" fillId="35" borderId="0" xfId="0" applyFont="1" applyFill="1" applyAlignment="1">
      <alignment horizontal="center" vertical="center"/>
    </xf>
    <xf numFmtId="0" fontId="9" fillId="35" borderId="0" xfId="0" applyFont="1" applyFill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112" fillId="0" borderId="1" xfId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36" borderId="0" xfId="0" applyFont="1" applyFill="1" applyAlignment="1">
      <alignment horizontal="left" vertical="center"/>
    </xf>
    <xf numFmtId="0" fontId="11" fillId="35" borderId="0" xfId="0" applyFont="1" applyFill="1" applyAlignment="1">
      <alignment horizontal="left" vertical="center"/>
    </xf>
    <xf numFmtId="0" fontId="11" fillId="64" borderId="0" xfId="0" applyFont="1" applyFill="1" applyAlignment="1">
      <alignment horizontal="left" vertical="center"/>
    </xf>
    <xf numFmtId="0" fontId="11" fillId="34" borderId="0" xfId="0" applyFont="1" applyFill="1" applyAlignment="1">
      <alignment horizontal="left" vertical="center"/>
    </xf>
    <xf numFmtId="0" fontId="11" fillId="39" borderId="0" xfId="0" applyFont="1" applyFill="1" applyAlignment="1">
      <alignment horizontal="left" vertical="center"/>
    </xf>
    <xf numFmtId="0" fontId="11" fillId="63" borderId="0" xfId="0" applyFont="1" applyFill="1" applyAlignment="1">
      <alignment horizontal="left" vertical="center"/>
    </xf>
    <xf numFmtId="0" fontId="33" fillId="0" borderId="0" xfId="54" applyAlignment="1">
      <alignment horizontal="center"/>
    </xf>
    <xf numFmtId="0" fontId="113" fillId="0" borderId="0" xfId="0" applyFont="1" applyAlignment="1"/>
    <xf numFmtId="0" fontId="0" fillId="39" borderId="0" xfId="0" applyFill="1" applyAlignment="1"/>
    <xf numFmtId="0" fontId="0" fillId="34" borderId="0" xfId="0" applyFill="1" applyAlignment="1"/>
    <xf numFmtId="0" fontId="114" fillId="0" borderId="0" xfId="0" applyFont="1">
      <alignment vertical="center"/>
    </xf>
    <xf numFmtId="0" fontId="116" fillId="67" borderId="8" xfId="0" applyFont="1" applyFill="1" applyBorder="1" applyAlignment="1">
      <alignment horizontal="center"/>
    </xf>
    <xf numFmtId="0" fontId="0" fillId="0" borderId="8" xfId="0" applyBorder="1" applyAlignment="1"/>
    <xf numFmtId="0" fontId="116" fillId="0" borderId="8" xfId="0" applyFont="1" applyBorder="1" applyAlignment="1"/>
    <xf numFmtId="0" fontId="33" fillId="34" borderId="0" xfId="54" applyFill="1">
      <alignment vertical="center"/>
    </xf>
    <xf numFmtId="0" fontId="51" fillId="34" borderId="0" xfId="0" applyFont="1" applyFill="1" applyAlignment="1">
      <alignment horizontal="center" vertical="center"/>
    </xf>
    <xf numFmtId="0" fontId="99" fillId="0" borderId="0" xfId="0" applyFont="1" applyAlignment="1">
      <alignment horizontal="center" vertical="center"/>
    </xf>
    <xf numFmtId="1" fontId="95" fillId="0" borderId="0" xfId="0" applyNumberFormat="1" applyFont="1" applyAlignment="1">
      <alignment horizontal="center" vertical="center" shrinkToFit="1"/>
    </xf>
    <xf numFmtId="0" fontId="11" fillId="39" borderId="0" xfId="0" applyFont="1" applyFill="1" applyAlignment="1">
      <alignment horizontal="center" vertical="center"/>
    </xf>
    <xf numFmtId="0" fontId="41" fillId="39" borderId="0" xfId="0" applyFont="1" applyFill="1" applyAlignment="1">
      <alignment horizontal="center" vertical="center"/>
    </xf>
    <xf numFmtId="0" fontId="0" fillId="39" borderId="0" xfId="0" applyFill="1" applyAlignment="1">
      <alignment horizontal="center"/>
    </xf>
    <xf numFmtId="0" fontId="0" fillId="68" borderId="0" xfId="0" applyFill="1" applyAlignment="1">
      <alignment horizontal="center" vertical="center"/>
    </xf>
    <xf numFmtId="0" fontId="0" fillId="68" borderId="0" xfId="0" applyFill="1">
      <alignment vertical="center"/>
    </xf>
    <xf numFmtId="0" fontId="11" fillId="68" borderId="0" xfId="0" applyFont="1" applyFill="1" applyAlignment="1">
      <alignment horizontal="center" vertical="center"/>
    </xf>
    <xf numFmtId="0" fontId="9" fillId="68" borderId="0" xfId="0" applyFont="1" applyFill="1" applyAlignment="1">
      <alignment horizontal="center"/>
    </xf>
    <xf numFmtId="0" fontId="11" fillId="68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7" fillId="0" borderId="0" xfId="0" applyFont="1">
      <alignment vertical="center"/>
    </xf>
    <xf numFmtId="0" fontId="32" fillId="40" borderId="0" xfId="0" applyFont="1" applyFill="1" applyAlignment="1">
      <alignment horizontal="center" vertical="center"/>
    </xf>
    <xf numFmtId="0" fontId="118" fillId="40" borderId="0" xfId="0" applyFont="1" applyFill="1" applyAlignment="1">
      <alignment horizontal="center" vertical="center"/>
    </xf>
    <xf numFmtId="0" fontId="119" fillId="40" borderId="0" xfId="0" applyFont="1" applyFill="1" applyAlignment="1">
      <alignment horizontal="center" vertical="center"/>
    </xf>
    <xf numFmtId="0" fontId="44" fillId="34" borderId="7" xfId="0" applyFont="1" applyFill="1" applyBorder="1" applyAlignment="1">
      <alignment horizontal="center" vertical="center"/>
    </xf>
    <xf numFmtId="0" fontId="0" fillId="40" borderId="0" xfId="0" applyFill="1" applyAlignment="1">
      <alignment horizontal="center"/>
    </xf>
    <xf numFmtId="0" fontId="0" fillId="40" borderId="0" xfId="0" applyFill="1" applyAlignment="1"/>
    <xf numFmtId="0" fontId="2" fillId="34" borderId="0" xfId="11" applyFont="1" applyFill="1" applyAlignment="1">
      <alignment horizontal="center" vertical="center" wrapText="1"/>
    </xf>
    <xf numFmtId="0" fontId="2" fillId="34" borderId="0" xfId="0" applyFont="1" applyFill="1" applyAlignment="1">
      <alignment horizontal="center" vertical="center"/>
    </xf>
    <xf numFmtId="1" fontId="2" fillId="34" borderId="0" xfId="12" applyFont="1" applyFill="1">
      <alignment horizontal="center" vertical="center"/>
    </xf>
    <xf numFmtId="0" fontId="2" fillId="35" borderId="0" xfId="11" applyFont="1" applyFill="1" applyAlignment="1">
      <alignment horizontal="center" vertical="center" wrapText="1"/>
    </xf>
    <xf numFmtId="1" fontId="2" fillId="35" borderId="0" xfId="12" applyFont="1" applyFill="1">
      <alignment horizontal="center" vertical="center"/>
    </xf>
    <xf numFmtId="0" fontId="2" fillId="34" borderId="7" xfId="11" applyFont="1" applyFill="1" applyBorder="1" applyAlignment="1">
      <alignment horizontal="center" vertical="center" wrapText="1"/>
    </xf>
    <xf numFmtId="0" fontId="2" fillId="37" borderId="0" xfId="0" applyFont="1" applyFill="1" applyAlignment="1">
      <alignment horizontal="center" vertical="center"/>
    </xf>
    <xf numFmtId="0" fontId="2" fillId="37" borderId="0" xfId="0" applyFont="1" applyFill="1">
      <alignment vertical="center"/>
    </xf>
    <xf numFmtId="0" fontId="2" fillId="40" borderId="0" xfId="0" applyFont="1" applyFill="1" applyAlignment="1">
      <alignment horizontal="center" vertical="center"/>
    </xf>
    <xf numFmtId="0" fontId="2" fillId="37" borderId="0" xfId="0" applyFont="1" applyFill="1" applyAlignment="1">
      <alignment horizontal="left" vertical="center"/>
    </xf>
    <xf numFmtId="0" fontId="2" fillId="39" borderId="0" xfId="0" applyFont="1" applyFill="1" applyAlignment="1">
      <alignment horizontal="left" vertical="center"/>
    </xf>
    <xf numFmtId="0" fontId="2" fillId="3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8" borderId="0" xfId="0" applyFont="1" applyFill="1" applyAlignment="1">
      <alignment horizontal="center" vertical="center"/>
    </xf>
    <xf numFmtId="0" fontId="2" fillId="34" borderId="0" xfId="0" applyFont="1" applyFill="1">
      <alignment vertical="center"/>
    </xf>
    <xf numFmtId="0" fontId="2" fillId="0" borderId="8" xfId="60" applyFont="1" applyBorder="1" applyAlignment="1">
      <alignment horizontal="center" vertical="center"/>
    </xf>
    <xf numFmtId="0" fontId="2" fillId="39" borderId="8" xfId="60" applyFont="1" applyFill="1" applyBorder="1" applyAlignment="1">
      <alignment horizontal="center"/>
    </xf>
    <xf numFmtId="0" fontId="2" fillId="0" borderId="8" xfId="60" applyFont="1" applyBorder="1" applyAlignment="1">
      <alignment horizontal="center"/>
    </xf>
    <xf numFmtId="0" fontId="2" fillId="39" borderId="8" xfId="60" applyFont="1" applyFill="1" applyBorder="1"/>
    <xf numFmtId="1" fontId="23" fillId="34" borderId="0" xfId="12" applyFont="1" applyFill="1">
      <alignment horizontal="center" vertical="center"/>
    </xf>
    <xf numFmtId="0" fontId="120" fillId="34" borderId="0" xfId="0" applyFont="1" applyFill="1" applyAlignment="1">
      <alignment horizontal="center" vertical="center"/>
    </xf>
    <xf numFmtId="167" fontId="120" fillId="34" borderId="0" xfId="0" applyNumberFormat="1" applyFont="1" applyFill="1" applyAlignment="1">
      <alignment horizontal="center" vertical="center"/>
    </xf>
    <xf numFmtId="0" fontId="115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39" borderId="13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2" fillId="65" borderId="0" xfId="0" applyFont="1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94" fillId="0" borderId="0" xfId="1" applyFont="1" applyBorder="1" applyAlignment="1">
      <alignment horizontal="center" vertical="center"/>
    </xf>
    <xf numFmtId="0" fontId="54" fillId="34" borderId="0" xfId="34" applyFont="1" applyFill="1" applyAlignment="1">
      <alignment horizontal="center" vertical="center" wrapText="1"/>
    </xf>
    <xf numFmtId="0" fontId="54" fillId="34" borderId="0" xfId="34" applyFont="1" applyFill="1" applyAlignment="1">
      <alignment horizontal="center" vertical="center"/>
    </xf>
    <xf numFmtId="0" fontId="59" fillId="34" borderId="0" xfId="0" applyFont="1" applyFill="1" applyAlignment="1">
      <alignment horizontal="left" vertical="center" wrapText="1"/>
    </xf>
    <xf numFmtId="0" fontId="106" fillId="0" borderId="14" xfId="0" applyFont="1" applyBorder="1" applyAlignment="1">
      <alignment horizontal="center" vertical="center"/>
    </xf>
  </cellXfs>
  <cellStyles count="62">
    <cellStyle name="20% - Ênfase1" xfId="31" builtinId="30" customBuiltin="1"/>
    <cellStyle name="20% - Ênfase2" xfId="35" builtinId="34" customBuiltin="1"/>
    <cellStyle name="20% - Ênfase3" xfId="39" builtinId="38" customBuiltin="1"/>
    <cellStyle name="20% - Ênfase4" xfId="43" builtinId="42" customBuiltin="1"/>
    <cellStyle name="20% - Ênfase5" xfId="47" builtinId="46" customBuiltin="1"/>
    <cellStyle name="20% - Ênfase6" xfId="51" builtinId="50" customBuiltin="1"/>
    <cellStyle name="40% - Ênfase1" xfId="32" builtinId="31" customBuiltin="1"/>
    <cellStyle name="40% - Ênfase2" xfId="36" builtinId="35" customBuiltin="1"/>
    <cellStyle name="40% - Ênfase3" xfId="40" builtinId="39" customBuiltin="1"/>
    <cellStyle name="40% - Ênfase4" xfId="44" builtinId="43" customBuiltin="1"/>
    <cellStyle name="40% - Ênfase5" xfId="48" builtinId="47" customBuiltin="1"/>
    <cellStyle name="40% - Ênfase6" xfId="52" builtinId="51" customBuiltin="1"/>
    <cellStyle name="60% - Ênfase1" xfId="33" builtinId="32" customBuiltin="1"/>
    <cellStyle name="60% - Ênfase2" xfId="37" builtinId="36" customBuiltin="1"/>
    <cellStyle name="60% - Ênfase3" xfId="41" builtinId="40" customBuiltin="1"/>
    <cellStyle name="60% - Ênfase4" xfId="45" builtinId="44" customBuiltin="1"/>
    <cellStyle name="60% - Ênfase5" xfId="49" builtinId="48" customBuiltin="1"/>
    <cellStyle name="60% - Ênfase6" xfId="53" builtinId="52" customBuiltin="1"/>
    <cellStyle name="Bom" xfId="20" builtinId="26" customBuiltin="1"/>
    <cellStyle name="Cálculo" xfId="25" builtinId="22" customBuiltin="1"/>
    <cellStyle name="Célula de Verificação" xfId="26" builtinId="23" customBuiltin="1"/>
    <cellStyle name="Célula Vinculada" xfId="8" builtinId="24" customBuiltin="1"/>
    <cellStyle name="Coluna de Sinalização" xfId="7" xr:uid="{00000000-0005-0000-0000-000000000000}"/>
    <cellStyle name="Contagens de totais" xfId="10" xr:uid="{00000000-0005-0000-0000-00000E000000}"/>
    <cellStyle name="Detalhes da tabela alinhados à direita" xfId="13" xr:uid="{00000000-0005-0000-0000-00000B000000}"/>
    <cellStyle name="Detalhes da tabela alinhados à esquerda" xfId="11" xr:uid="{00000000-0005-0000-0000-00000A000000}"/>
    <cellStyle name="Detalhes da tabela centralizados" xfId="12" xr:uid="{00000000-0005-0000-0000-000009000000}"/>
    <cellStyle name="Ênfase1" xfId="30" builtinId="29" customBuiltin="1"/>
    <cellStyle name="Ênfase2" xfId="34" builtinId="33" customBuiltin="1"/>
    <cellStyle name="Ênfase3" xfId="38" builtinId="37" customBuiltin="1"/>
    <cellStyle name="Ênfase4" xfId="42" builtinId="41" customBuiltin="1"/>
    <cellStyle name="Ênfase5" xfId="46" builtinId="45" customBuiltin="1"/>
    <cellStyle name="Ênfase6" xfId="50" builtinId="49" customBuiltin="1"/>
    <cellStyle name="Entrada" xfId="23" builtinId="20" customBuiltin="1"/>
    <cellStyle name="Hiperlink" xfId="54" builtinId="8" customBuiltin="1"/>
    <cellStyle name="Hiperlink 2" xfId="61" xr:uid="{9984CF77-605B-498F-B887-46109EF7D84D}"/>
    <cellStyle name="Hiperlink Visitado" xfId="9" builtinId="9" customBuiltin="1"/>
    <cellStyle name="Hyperlink" xfId="59" xr:uid="{00000000-000B-0000-0000-000008000000}"/>
    <cellStyle name="Moeda" xfId="17" builtinId="4" customBuiltin="1"/>
    <cellStyle name="Moeda [0]" xfId="18" builtinId="7" customBuiltin="1"/>
    <cellStyle name="Neutro" xfId="22" builtinId="28" customBuiltin="1"/>
    <cellStyle name="Normal" xfId="0" builtinId="0" customBuiltin="1"/>
    <cellStyle name="Normal 2" xfId="55" xr:uid="{839A6B8D-046C-4BD4-8AC8-E7BD32307A11}"/>
    <cellStyle name="Normal 3" xfId="57" xr:uid="{E4E65E1A-7589-41F9-B888-83038C4A49DF}"/>
    <cellStyle name="Normal 4" xfId="58" xr:uid="{BBF8514A-26D3-4AE9-AB8A-93FBE20A6A38}"/>
    <cellStyle name="Normal 5" xfId="56" xr:uid="{D3733583-C63D-42DB-BA90-85EB2B99E7EC}"/>
    <cellStyle name="Normal 6" xfId="60" xr:uid="{EDAE850D-A2C7-4E8E-9419-7D9C806573D8}"/>
    <cellStyle name="Nota" xfId="28" builtinId="10" customBuiltin="1"/>
    <cellStyle name="Porcentagem" xfId="19" builtinId="5" customBuiltin="1"/>
    <cellStyle name="Ruim" xfId="21" builtinId="27" customBuiltin="1"/>
    <cellStyle name="Saída" xfId="24" builtinId="21" customBuiltin="1"/>
    <cellStyle name="Separador de milhares [0]" xfId="16" builtinId="6" customBuiltin="1"/>
    <cellStyle name="Texto de Aviso" xfId="27" builtinId="11" customBuiltin="1"/>
    <cellStyle name="Texto do link de navegação zHide" xfId="14" xr:uid="{00000000-0005-0000-0000-00000F000000}"/>
    <cellStyle name="Texto Explicativo" xfId="29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6" builtinId="25" customBuiltin="1"/>
    <cellStyle name="Vírgula" xfId="15" builtinId="3" customBuiltin="1"/>
  </cellStyles>
  <dxfs count="26">
    <dxf>
      <font>
        <color rgb="FF000000"/>
        <name val="Arial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  <name val="Arial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  <name val="Arial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  <name val="Arial"/>
      </font>
      <fill>
        <patternFill patternType="solid">
          <fgColor indexed="64"/>
          <bgColor theme="0"/>
        </patternFill>
      </fill>
      <alignment horizontal="center"/>
    </dxf>
    <dxf>
      <font>
        <color rgb="FF000000"/>
        <name val="Arial"/>
      </font>
      <fill>
        <patternFill patternType="solid">
          <fgColor indexed="64"/>
          <bgColor theme="0"/>
        </patternFill>
      </fill>
      <alignment horizont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sz val="10"/>
        <color rgb="FF262626"/>
        <name val="Franklin Gothic Medium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0"/>
        <color rgb="FF262626"/>
        <name val="Franklin Gothic Medium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rgb="FF262626"/>
        <name val="Franklin Gothic Medium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262626"/>
        <name val="Franklin Gothic Medium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rgb="FF262626"/>
        <name val="Franklin Gothic Medium"/>
        <family val="2"/>
        <scheme val="none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3" tint="0.14993743705557422"/>
        <name val="Franklin Gothic Medium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rgb="FF262626"/>
        <name val="Franklin Gothic Medium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color rgb="FF262626"/>
        <name val="Franklin Gothic Medium"/>
        <family val="2"/>
        <scheme val="none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3" tint="0.14993743705557422"/>
        <name val="Franklin Gothic Medium"/>
        <family val="2"/>
        <scheme val="minor"/>
      </font>
      <alignment horizontal="center" textRotation="0" wrapText="0" indent="0" justifyLastLine="0" shrinkToFit="0" readingOrder="0"/>
    </dxf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</dxfs>
  <tableStyles count="1" defaultPivotStyle="PivotStyleMedium2">
    <tableStyle name="Estoque do Armazém" pivot="0" count="4" xr9:uid="{00000000-0011-0000-FFFF-FFFF00000000}">
      <tableStyleElement type="wholeTable" dxfId="25"/>
      <tableStyleElement type="headerRow" dxfId="24"/>
      <tableStyleElement type="lastColumn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10757</xdr:colOff>
      <xdr:row>118</xdr:row>
      <xdr:rowOff>116093</xdr:rowOff>
    </xdr:from>
    <xdr:to>
      <xdr:col>9</xdr:col>
      <xdr:colOff>666751</xdr:colOff>
      <xdr:row>121</xdr:row>
      <xdr:rowOff>17350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09051739-149E-4215-B438-7522BDEAEB49}"/>
            </a:ext>
            <a:ext uri="{147F2762-F138-4A5C-976F-8EAC2B608ADB}">
              <a16:predDERef xmlns:a16="http://schemas.microsoft.com/office/drawing/2014/main" pred="{3382544C-6B3B-3540-3BAD-58FC74EEE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5297" y="17626853"/>
          <a:ext cx="648374" cy="8499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68580</xdr:colOff>
      <xdr:row>0</xdr:row>
      <xdr:rowOff>0</xdr:rowOff>
    </xdr:from>
    <xdr:to>
      <xdr:col>13</xdr:col>
      <xdr:colOff>693421</xdr:colOff>
      <xdr:row>2</xdr:row>
      <xdr:rowOff>253794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7B5E4E-93F9-43BE-87CA-632354DB3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78340" y="0"/>
          <a:ext cx="624841" cy="1160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1249680</xdr:colOff>
      <xdr:row>0</xdr:row>
      <xdr:rowOff>0</xdr:rowOff>
    </xdr:from>
    <xdr:to>
      <xdr:col>5</xdr:col>
      <xdr:colOff>666751</xdr:colOff>
      <xdr:row>1</xdr:row>
      <xdr:rowOff>19479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35D939-1CE1-46CD-990C-B2D469B2A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4105" y="0"/>
          <a:ext cx="655321" cy="6538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655321</xdr:colOff>
      <xdr:row>0</xdr:row>
      <xdr:rowOff>653844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0513905-6EBC-4E64-BFC8-8F0517902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2700" y="0"/>
          <a:ext cx="655321" cy="6538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1249680</xdr:colOff>
      <xdr:row>0</xdr:row>
      <xdr:rowOff>0</xdr:rowOff>
    </xdr:from>
    <xdr:to>
      <xdr:col>8</xdr:col>
      <xdr:colOff>662941</xdr:colOff>
      <xdr:row>1</xdr:row>
      <xdr:rowOff>429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E76F1E8D-5D5E-457A-A884-04BFF21A0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6955" y="0"/>
          <a:ext cx="655321" cy="65384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104774</xdr:colOff>
      <xdr:row>0</xdr:row>
      <xdr:rowOff>0</xdr:rowOff>
    </xdr:from>
    <xdr:to>
      <xdr:col>7</xdr:col>
      <xdr:colOff>1085849</xdr:colOff>
      <xdr:row>2</xdr:row>
      <xdr:rowOff>76629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id="{31DEDF62-0EF6-4A72-BAD2-8478E571B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399" y="0"/>
          <a:ext cx="981075" cy="6576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1362075</xdr:colOff>
      <xdr:row>0</xdr:row>
      <xdr:rowOff>0</xdr:rowOff>
    </xdr:from>
    <xdr:to>
      <xdr:col>5</xdr:col>
      <xdr:colOff>2017396</xdr:colOff>
      <xdr:row>0</xdr:row>
      <xdr:rowOff>653844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0065369-4ABC-4EAA-A43E-3CBA2BA0F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0"/>
          <a:ext cx="655321" cy="65384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923925</xdr:colOff>
      <xdr:row>0</xdr:row>
      <xdr:rowOff>0</xdr:rowOff>
    </xdr:from>
    <xdr:to>
      <xdr:col>4</xdr:col>
      <xdr:colOff>219075</xdr:colOff>
      <xdr:row>0</xdr:row>
      <xdr:rowOff>533400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C5D0053A-B342-4CF1-B271-D2759781E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1925" y="0"/>
          <a:ext cx="657225" cy="533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</xdr:colOff>
      <xdr:row>0</xdr:row>
      <xdr:rowOff>0</xdr:rowOff>
    </xdr:from>
    <xdr:to>
      <xdr:col>10</xdr:col>
      <xdr:colOff>674371</xdr:colOff>
      <xdr:row>0</xdr:row>
      <xdr:rowOff>653844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0C62B61-B55F-453E-81D9-EDD7C84C5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9050" y="0"/>
          <a:ext cx="655321" cy="65384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0</xdr:row>
      <xdr:rowOff>0</xdr:rowOff>
    </xdr:from>
    <xdr:to>
      <xdr:col>3</xdr:col>
      <xdr:colOff>941071</xdr:colOff>
      <xdr:row>0</xdr:row>
      <xdr:rowOff>653844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5A973C4C-6BC9-4747-9627-4B18EF2E6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8650" y="0"/>
          <a:ext cx="655321" cy="65384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485775</xdr:colOff>
      <xdr:row>0</xdr:row>
      <xdr:rowOff>0</xdr:rowOff>
    </xdr:from>
    <xdr:to>
      <xdr:col>3</xdr:col>
      <xdr:colOff>1141096</xdr:colOff>
      <xdr:row>0</xdr:row>
      <xdr:rowOff>653844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008BAA-F0E1-4BED-AEE0-4BF345FB6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7125" y="0"/>
          <a:ext cx="655321" cy="65384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5231</xdr:colOff>
      <xdr:row>0</xdr:row>
      <xdr:rowOff>6335</xdr:rowOff>
    </xdr:from>
    <xdr:ext cx="712470" cy="18351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B8566013-0898-44D9-A4D8-40781D749AC1}"/>
            </a:ext>
          </a:extLst>
        </xdr:cNvPr>
        <xdr:cNvSpPr/>
      </xdr:nvSpPr>
      <xdr:spPr>
        <a:xfrm>
          <a:off x="5231" y="6335"/>
          <a:ext cx="712470" cy="183515"/>
        </a:xfrm>
        <a:custGeom>
          <a:avLst/>
          <a:gdLst/>
          <a:ahLst/>
          <a:cxnLst/>
          <a:rect l="0" t="0" r="0" b="0"/>
          <a:pathLst>
            <a:path w="712470" h="183515">
              <a:moveTo>
                <a:pt x="712111" y="183090"/>
              </a:moveTo>
              <a:lnTo>
                <a:pt x="0" y="183090"/>
              </a:lnTo>
              <a:lnTo>
                <a:pt x="0" y="0"/>
              </a:lnTo>
              <a:lnTo>
                <a:pt x="712111" y="0"/>
              </a:lnTo>
              <a:lnTo>
                <a:pt x="712111" y="183090"/>
              </a:lnTo>
              <a:close/>
            </a:path>
          </a:pathLst>
        </a:custGeom>
        <a:solidFill>
          <a:srgbClr val="0805FD">
            <a:alpha val="50000"/>
          </a:srgbClr>
        </a:solidFill>
      </xdr:spPr>
    </xdr:sp>
    <xdr:clientData/>
  </xdr:oneCellAnchor>
  <xdr:oneCellAnchor>
    <xdr:from>
      <xdr:col>1</xdr:col>
      <xdr:colOff>2664</xdr:colOff>
      <xdr:row>0</xdr:row>
      <xdr:rowOff>6335</xdr:rowOff>
    </xdr:from>
    <xdr:ext cx="386080" cy="18351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B2F66228-0D34-4A30-920C-2EB0820C8677}"/>
            </a:ext>
          </a:extLst>
        </xdr:cNvPr>
        <xdr:cNvSpPr/>
      </xdr:nvSpPr>
      <xdr:spPr>
        <a:xfrm>
          <a:off x="2164839" y="6335"/>
          <a:ext cx="386080" cy="183515"/>
        </a:xfrm>
        <a:custGeom>
          <a:avLst/>
          <a:gdLst/>
          <a:ahLst/>
          <a:cxnLst/>
          <a:rect l="0" t="0" r="0" b="0"/>
          <a:pathLst>
            <a:path w="386080" h="183515">
              <a:moveTo>
                <a:pt x="385726" y="183090"/>
              </a:moveTo>
              <a:lnTo>
                <a:pt x="0" y="183090"/>
              </a:lnTo>
              <a:lnTo>
                <a:pt x="0" y="0"/>
              </a:lnTo>
              <a:lnTo>
                <a:pt x="385726" y="0"/>
              </a:lnTo>
              <a:lnTo>
                <a:pt x="385726" y="183090"/>
              </a:lnTo>
              <a:close/>
            </a:path>
          </a:pathLst>
        </a:custGeom>
        <a:solidFill>
          <a:srgbClr val="0805FD">
            <a:alpha val="50000"/>
          </a:srgbClr>
        </a:solidFill>
      </xdr:spPr>
    </xdr:sp>
    <xdr:clientData/>
  </xdr:oneCellAnchor>
  <xdr:oneCellAnchor>
    <xdr:from>
      <xdr:col>2</xdr:col>
      <xdr:colOff>5883</xdr:colOff>
      <xdr:row>0</xdr:row>
      <xdr:rowOff>6335</xdr:rowOff>
    </xdr:from>
    <xdr:ext cx="920115" cy="1835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77BB9BA9-7E2C-4A67-97A3-FF181724C29C}"/>
            </a:ext>
          </a:extLst>
        </xdr:cNvPr>
        <xdr:cNvSpPr/>
      </xdr:nvSpPr>
      <xdr:spPr>
        <a:xfrm>
          <a:off x="4787433" y="6335"/>
          <a:ext cx="920115" cy="183515"/>
        </a:xfrm>
        <a:custGeom>
          <a:avLst/>
          <a:gdLst/>
          <a:ahLst/>
          <a:cxnLst/>
          <a:rect l="0" t="0" r="0" b="0"/>
          <a:pathLst>
            <a:path w="920115" h="183515">
              <a:moveTo>
                <a:pt x="919810" y="183090"/>
              </a:moveTo>
              <a:lnTo>
                <a:pt x="0" y="183090"/>
              </a:lnTo>
              <a:lnTo>
                <a:pt x="0" y="0"/>
              </a:lnTo>
              <a:lnTo>
                <a:pt x="919810" y="0"/>
              </a:lnTo>
              <a:lnTo>
                <a:pt x="919810" y="183090"/>
              </a:lnTo>
              <a:close/>
            </a:path>
          </a:pathLst>
        </a:custGeom>
        <a:solidFill>
          <a:srgbClr val="0805FD">
            <a:alpha val="50000"/>
          </a:srgbClr>
        </a:solidFill>
      </xdr:spPr>
    </xdr:sp>
    <xdr:clientData/>
  </xdr:oneCellAnchor>
  <xdr:oneCellAnchor>
    <xdr:from>
      <xdr:col>3</xdr:col>
      <xdr:colOff>83213</xdr:colOff>
      <xdr:row>0</xdr:row>
      <xdr:rowOff>6335</xdr:rowOff>
    </xdr:from>
    <xdr:ext cx="514350" cy="18351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83ECC2AB-55C0-4B73-A686-D31BEBF2FC29}"/>
            </a:ext>
          </a:extLst>
        </xdr:cNvPr>
        <xdr:cNvSpPr/>
      </xdr:nvSpPr>
      <xdr:spPr>
        <a:xfrm>
          <a:off x="8998613" y="6335"/>
          <a:ext cx="514350" cy="183515"/>
        </a:xfrm>
        <a:custGeom>
          <a:avLst/>
          <a:gdLst/>
          <a:ahLst/>
          <a:cxnLst/>
          <a:rect l="0" t="0" r="0" b="0"/>
          <a:pathLst>
            <a:path w="514350" h="183515">
              <a:moveTo>
                <a:pt x="514302" y="183090"/>
              </a:moveTo>
              <a:lnTo>
                <a:pt x="0" y="183090"/>
              </a:lnTo>
              <a:lnTo>
                <a:pt x="0" y="0"/>
              </a:lnTo>
              <a:lnTo>
                <a:pt x="514302" y="0"/>
              </a:lnTo>
              <a:lnTo>
                <a:pt x="514302" y="183090"/>
              </a:lnTo>
              <a:close/>
            </a:path>
          </a:pathLst>
        </a:custGeom>
        <a:solidFill>
          <a:srgbClr val="0805FD">
            <a:alpha val="50000"/>
          </a:srgbClr>
        </a:solidFill>
      </xdr:spPr>
    </xdr:sp>
    <xdr:clientData/>
  </xdr:oneCellAnchor>
  <xdr:oneCellAnchor>
    <xdr:from>
      <xdr:col>4</xdr:col>
      <xdr:colOff>0</xdr:colOff>
      <xdr:row>0</xdr:row>
      <xdr:rowOff>6335</xdr:rowOff>
    </xdr:from>
    <xdr:ext cx="563880" cy="18351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DD61F5A3-4362-4342-B31B-57EF7196B3E3}"/>
            </a:ext>
          </a:extLst>
        </xdr:cNvPr>
        <xdr:cNvSpPr/>
      </xdr:nvSpPr>
      <xdr:spPr>
        <a:xfrm>
          <a:off x="10601325" y="6335"/>
          <a:ext cx="563880" cy="183515"/>
        </a:xfrm>
        <a:custGeom>
          <a:avLst/>
          <a:gdLst/>
          <a:ahLst/>
          <a:cxnLst/>
          <a:rect l="0" t="0" r="0" b="0"/>
          <a:pathLst>
            <a:path w="563880" h="183515">
              <a:moveTo>
                <a:pt x="563754" y="183090"/>
              </a:moveTo>
              <a:lnTo>
                <a:pt x="0" y="183090"/>
              </a:lnTo>
              <a:lnTo>
                <a:pt x="0" y="0"/>
              </a:lnTo>
              <a:lnTo>
                <a:pt x="563754" y="0"/>
              </a:lnTo>
              <a:lnTo>
                <a:pt x="563754" y="183090"/>
              </a:lnTo>
              <a:close/>
            </a:path>
          </a:pathLst>
        </a:custGeom>
        <a:solidFill>
          <a:srgbClr val="0805FD">
            <a:alpha val="50000"/>
          </a:srgbClr>
        </a:solidFill>
      </xdr:spPr>
    </xdr:sp>
    <xdr:clientData/>
  </xdr:oneCellAnchor>
  <xdr:oneCellAnchor>
    <xdr:from>
      <xdr:col>5</xdr:col>
      <xdr:colOff>0</xdr:colOff>
      <xdr:row>0</xdr:row>
      <xdr:rowOff>6335</xdr:rowOff>
    </xdr:from>
    <xdr:ext cx="771525" cy="1835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89510478-C4F7-4541-8254-3DD02C6AE8F8}"/>
            </a:ext>
          </a:extLst>
        </xdr:cNvPr>
        <xdr:cNvSpPr/>
      </xdr:nvSpPr>
      <xdr:spPr>
        <a:xfrm>
          <a:off x="12249150" y="6335"/>
          <a:ext cx="771525" cy="183515"/>
        </a:xfrm>
        <a:custGeom>
          <a:avLst/>
          <a:gdLst/>
          <a:ahLst/>
          <a:cxnLst/>
          <a:rect l="0" t="0" r="0" b="0"/>
          <a:pathLst>
            <a:path w="771525" h="183515">
              <a:moveTo>
                <a:pt x="771453" y="183090"/>
              </a:moveTo>
              <a:lnTo>
                <a:pt x="0" y="183090"/>
              </a:lnTo>
              <a:lnTo>
                <a:pt x="0" y="0"/>
              </a:lnTo>
              <a:lnTo>
                <a:pt x="771453" y="0"/>
              </a:lnTo>
              <a:lnTo>
                <a:pt x="771453" y="183090"/>
              </a:lnTo>
              <a:close/>
            </a:path>
          </a:pathLst>
        </a:custGeom>
        <a:solidFill>
          <a:srgbClr val="0805FD">
            <a:alpha val="50000"/>
          </a:srgbClr>
        </a:solidFill>
      </xdr:spPr>
    </xdr:sp>
    <xdr:clientData/>
  </xdr:oneCellAnchor>
  <xdr:oneCellAnchor>
    <xdr:from>
      <xdr:col>0</xdr:col>
      <xdr:colOff>5231</xdr:colOff>
      <xdr:row>42</xdr:row>
      <xdr:rowOff>6335</xdr:rowOff>
    </xdr:from>
    <xdr:ext cx="712470" cy="183515"/>
    <xdr:sp macro="" textlink="">
      <xdr:nvSpPr>
        <xdr:cNvPr id="8" name="Shape 2">
          <a:extLst>
            <a:ext uri="{FF2B5EF4-FFF2-40B4-BE49-F238E27FC236}">
              <a16:creationId xmlns:a16="http://schemas.microsoft.com/office/drawing/2014/main" id="{A53C3902-BA7B-42B1-B5B0-17E08C7DCF2B}"/>
            </a:ext>
            <a:ext uri="{147F2762-F138-4A5C-976F-8EAC2B608ADB}">
              <a16:predDERef xmlns:a16="http://schemas.microsoft.com/office/drawing/2014/main" pred="{89510478-C4F7-4541-8254-3DD02C6AE8F8}"/>
            </a:ext>
          </a:extLst>
        </xdr:cNvPr>
        <xdr:cNvSpPr/>
      </xdr:nvSpPr>
      <xdr:spPr>
        <a:xfrm>
          <a:off x="5231" y="6335"/>
          <a:ext cx="712470" cy="183515"/>
        </a:xfrm>
        <a:custGeom>
          <a:avLst/>
          <a:gdLst/>
          <a:ahLst/>
          <a:cxnLst/>
          <a:rect l="0" t="0" r="0" b="0"/>
          <a:pathLst>
            <a:path w="712470" h="183515">
              <a:moveTo>
                <a:pt x="712111" y="183090"/>
              </a:moveTo>
              <a:lnTo>
                <a:pt x="0" y="183090"/>
              </a:lnTo>
              <a:lnTo>
                <a:pt x="0" y="0"/>
              </a:lnTo>
              <a:lnTo>
                <a:pt x="712111" y="0"/>
              </a:lnTo>
              <a:lnTo>
                <a:pt x="712111" y="183090"/>
              </a:lnTo>
              <a:close/>
            </a:path>
          </a:pathLst>
        </a:custGeom>
        <a:solidFill>
          <a:srgbClr val="0805FD">
            <a:alpha val="50000"/>
          </a:srgbClr>
        </a:solidFill>
      </xdr:spPr>
    </xdr:sp>
    <xdr:clientData/>
  </xdr:oneCellAnchor>
  <xdr:oneCellAnchor>
    <xdr:from>
      <xdr:col>1</xdr:col>
      <xdr:colOff>2664</xdr:colOff>
      <xdr:row>42</xdr:row>
      <xdr:rowOff>6335</xdr:rowOff>
    </xdr:from>
    <xdr:ext cx="386080" cy="18351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1C42BBA-4409-4D03-BA63-30C5C63996C9}"/>
            </a:ext>
            <a:ext uri="{147F2762-F138-4A5C-976F-8EAC2B608ADB}">
              <a16:predDERef xmlns:a16="http://schemas.microsoft.com/office/drawing/2014/main" pred="{A53C3902-BA7B-42B1-B5B0-17E08C7DCF2B}"/>
            </a:ext>
          </a:extLst>
        </xdr:cNvPr>
        <xdr:cNvSpPr/>
      </xdr:nvSpPr>
      <xdr:spPr>
        <a:xfrm>
          <a:off x="2079114" y="6335"/>
          <a:ext cx="386080" cy="183515"/>
        </a:xfrm>
        <a:custGeom>
          <a:avLst/>
          <a:gdLst/>
          <a:ahLst/>
          <a:cxnLst/>
          <a:rect l="0" t="0" r="0" b="0"/>
          <a:pathLst>
            <a:path w="386080" h="183515">
              <a:moveTo>
                <a:pt x="385726" y="183090"/>
              </a:moveTo>
              <a:lnTo>
                <a:pt x="0" y="183090"/>
              </a:lnTo>
              <a:lnTo>
                <a:pt x="0" y="0"/>
              </a:lnTo>
              <a:lnTo>
                <a:pt x="385726" y="0"/>
              </a:lnTo>
              <a:lnTo>
                <a:pt x="385726" y="183090"/>
              </a:lnTo>
              <a:close/>
            </a:path>
          </a:pathLst>
        </a:custGeom>
        <a:solidFill>
          <a:srgbClr val="0805FD">
            <a:alpha val="50000"/>
          </a:srgbClr>
        </a:solidFill>
      </xdr:spPr>
    </xdr:sp>
    <xdr:clientData/>
  </xdr:oneCellAnchor>
  <xdr:oneCellAnchor>
    <xdr:from>
      <xdr:col>2</xdr:col>
      <xdr:colOff>5883</xdr:colOff>
      <xdr:row>42</xdr:row>
      <xdr:rowOff>6335</xdr:rowOff>
    </xdr:from>
    <xdr:ext cx="920115" cy="18351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2CFD21F4-5108-4D0E-904B-99C62C77EEAD}"/>
            </a:ext>
            <a:ext uri="{147F2762-F138-4A5C-976F-8EAC2B608ADB}">
              <a16:predDERef xmlns:a16="http://schemas.microsoft.com/office/drawing/2014/main" pred="{01C42BBA-4409-4D03-BA63-30C5C63996C9}"/>
            </a:ext>
          </a:extLst>
        </xdr:cNvPr>
        <xdr:cNvSpPr/>
      </xdr:nvSpPr>
      <xdr:spPr>
        <a:xfrm>
          <a:off x="4701708" y="6335"/>
          <a:ext cx="920115" cy="183515"/>
        </a:xfrm>
        <a:custGeom>
          <a:avLst/>
          <a:gdLst/>
          <a:ahLst/>
          <a:cxnLst/>
          <a:rect l="0" t="0" r="0" b="0"/>
          <a:pathLst>
            <a:path w="920115" h="183515">
              <a:moveTo>
                <a:pt x="919810" y="183090"/>
              </a:moveTo>
              <a:lnTo>
                <a:pt x="0" y="183090"/>
              </a:lnTo>
              <a:lnTo>
                <a:pt x="0" y="0"/>
              </a:lnTo>
              <a:lnTo>
                <a:pt x="919810" y="0"/>
              </a:lnTo>
              <a:lnTo>
                <a:pt x="919810" y="183090"/>
              </a:lnTo>
              <a:close/>
            </a:path>
          </a:pathLst>
        </a:custGeom>
        <a:solidFill>
          <a:srgbClr val="0805FD">
            <a:alpha val="50000"/>
          </a:srgbClr>
        </a:solidFill>
      </xdr:spPr>
    </xdr:sp>
    <xdr:clientData/>
  </xdr:oneCellAnchor>
  <xdr:oneCellAnchor>
    <xdr:from>
      <xdr:col>3</xdr:col>
      <xdr:colOff>83213</xdr:colOff>
      <xdr:row>42</xdr:row>
      <xdr:rowOff>6335</xdr:rowOff>
    </xdr:from>
    <xdr:ext cx="514350" cy="183515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4EAE145D-4101-44A1-9444-2455B55C37B5}"/>
            </a:ext>
            <a:ext uri="{147F2762-F138-4A5C-976F-8EAC2B608ADB}">
              <a16:predDERef xmlns:a16="http://schemas.microsoft.com/office/drawing/2014/main" pred="{2CFD21F4-5108-4D0E-904B-99C62C77EEAD}"/>
            </a:ext>
          </a:extLst>
        </xdr:cNvPr>
        <xdr:cNvSpPr/>
      </xdr:nvSpPr>
      <xdr:spPr>
        <a:xfrm>
          <a:off x="8912888" y="6335"/>
          <a:ext cx="514350" cy="183515"/>
        </a:xfrm>
        <a:custGeom>
          <a:avLst/>
          <a:gdLst/>
          <a:ahLst/>
          <a:cxnLst/>
          <a:rect l="0" t="0" r="0" b="0"/>
          <a:pathLst>
            <a:path w="514350" h="183515">
              <a:moveTo>
                <a:pt x="514302" y="183090"/>
              </a:moveTo>
              <a:lnTo>
                <a:pt x="0" y="183090"/>
              </a:lnTo>
              <a:lnTo>
                <a:pt x="0" y="0"/>
              </a:lnTo>
              <a:lnTo>
                <a:pt x="514302" y="0"/>
              </a:lnTo>
              <a:lnTo>
                <a:pt x="514302" y="183090"/>
              </a:lnTo>
              <a:close/>
            </a:path>
          </a:pathLst>
        </a:custGeom>
        <a:solidFill>
          <a:srgbClr val="0805FD">
            <a:alpha val="50000"/>
          </a:srgbClr>
        </a:solidFill>
      </xdr:spPr>
    </xdr:sp>
    <xdr:clientData/>
  </xdr:oneCellAnchor>
  <xdr:oneCellAnchor>
    <xdr:from>
      <xdr:col>4</xdr:col>
      <xdr:colOff>0</xdr:colOff>
      <xdr:row>42</xdr:row>
      <xdr:rowOff>6335</xdr:rowOff>
    </xdr:from>
    <xdr:ext cx="563880" cy="183515"/>
    <xdr:sp macro="" textlink="">
      <xdr:nvSpPr>
        <xdr:cNvPr id="12" name="Shape 6">
          <a:extLst>
            <a:ext uri="{FF2B5EF4-FFF2-40B4-BE49-F238E27FC236}">
              <a16:creationId xmlns:a16="http://schemas.microsoft.com/office/drawing/2014/main" id="{BA298D02-3887-4AA7-ADC7-21C7BAAFA9FF}"/>
            </a:ext>
            <a:ext uri="{147F2762-F138-4A5C-976F-8EAC2B608ADB}">
              <a16:predDERef xmlns:a16="http://schemas.microsoft.com/office/drawing/2014/main" pred="{4EAE145D-4101-44A1-9444-2455B55C37B5}"/>
            </a:ext>
          </a:extLst>
        </xdr:cNvPr>
        <xdr:cNvSpPr/>
      </xdr:nvSpPr>
      <xdr:spPr>
        <a:xfrm>
          <a:off x="10515600" y="6335"/>
          <a:ext cx="563880" cy="183515"/>
        </a:xfrm>
        <a:custGeom>
          <a:avLst/>
          <a:gdLst/>
          <a:ahLst/>
          <a:cxnLst/>
          <a:rect l="0" t="0" r="0" b="0"/>
          <a:pathLst>
            <a:path w="563880" h="183515">
              <a:moveTo>
                <a:pt x="563754" y="183090"/>
              </a:moveTo>
              <a:lnTo>
                <a:pt x="0" y="183090"/>
              </a:lnTo>
              <a:lnTo>
                <a:pt x="0" y="0"/>
              </a:lnTo>
              <a:lnTo>
                <a:pt x="563754" y="0"/>
              </a:lnTo>
              <a:lnTo>
                <a:pt x="563754" y="183090"/>
              </a:lnTo>
              <a:close/>
            </a:path>
          </a:pathLst>
        </a:custGeom>
        <a:solidFill>
          <a:srgbClr val="0805FD">
            <a:alpha val="50000"/>
          </a:srgbClr>
        </a:solidFill>
      </xdr:spPr>
    </xdr:sp>
    <xdr:clientData/>
  </xdr:oneCellAnchor>
  <xdr:oneCellAnchor>
    <xdr:from>
      <xdr:col>5</xdr:col>
      <xdr:colOff>0</xdr:colOff>
      <xdr:row>42</xdr:row>
      <xdr:rowOff>6335</xdr:rowOff>
    </xdr:from>
    <xdr:ext cx="771525" cy="183515"/>
    <xdr:sp macro="" textlink="">
      <xdr:nvSpPr>
        <xdr:cNvPr id="13" name="Shape 7">
          <a:extLst>
            <a:ext uri="{FF2B5EF4-FFF2-40B4-BE49-F238E27FC236}">
              <a16:creationId xmlns:a16="http://schemas.microsoft.com/office/drawing/2014/main" id="{E3CFF784-C6A6-47FD-A5EB-9FCBCD3FFBAD}"/>
            </a:ext>
            <a:ext uri="{147F2762-F138-4A5C-976F-8EAC2B608ADB}">
              <a16:predDERef xmlns:a16="http://schemas.microsoft.com/office/drawing/2014/main" pred="{BA298D02-3887-4AA7-ADC7-21C7BAAFA9FF}"/>
            </a:ext>
          </a:extLst>
        </xdr:cNvPr>
        <xdr:cNvSpPr/>
      </xdr:nvSpPr>
      <xdr:spPr>
        <a:xfrm>
          <a:off x="12163425" y="6335"/>
          <a:ext cx="771525" cy="183515"/>
        </a:xfrm>
        <a:custGeom>
          <a:avLst/>
          <a:gdLst/>
          <a:ahLst/>
          <a:cxnLst/>
          <a:rect l="0" t="0" r="0" b="0"/>
          <a:pathLst>
            <a:path w="771525" h="183515">
              <a:moveTo>
                <a:pt x="771453" y="183090"/>
              </a:moveTo>
              <a:lnTo>
                <a:pt x="0" y="183090"/>
              </a:lnTo>
              <a:lnTo>
                <a:pt x="0" y="0"/>
              </a:lnTo>
              <a:lnTo>
                <a:pt x="771453" y="0"/>
              </a:lnTo>
              <a:lnTo>
                <a:pt x="771453" y="183090"/>
              </a:lnTo>
              <a:close/>
            </a:path>
          </a:pathLst>
        </a:custGeom>
        <a:solidFill>
          <a:srgbClr val="0805FD">
            <a:alpha val="50000"/>
          </a:srgbClr>
        </a:solidFill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13</xdr:col>
      <xdr:colOff>390525</xdr:colOff>
      <xdr:row>2</xdr:row>
      <xdr:rowOff>72819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0CE9870A-CFE5-4F2D-AEDA-5DFEBC97D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4300" y="0"/>
          <a:ext cx="1152525" cy="65384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0</xdr:row>
      <xdr:rowOff>68580</xdr:rowOff>
    </xdr:from>
    <xdr:to>
      <xdr:col>6</xdr:col>
      <xdr:colOff>706755</xdr:colOff>
      <xdr:row>0</xdr:row>
      <xdr:rowOff>1040130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CD45BC0F-F6AF-4EC5-A6F1-7D5C3A946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3305" y="68580"/>
          <a:ext cx="621030" cy="9715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230505</xdr:colOff>
      <xdr:row>0</xdr:row>
      <xdr:rowOff>0</xdr:rowOff>
    </xdr:from>
    <xdr:to>
      <xdr:col>6</xdr:col>
      <xdr:colOff>131445</xdr:colOff>
      <xdr:row>1</xdr:row>
      <xdr:rowOff>371475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C898091-22E9-42FD-A92B-4DA3A5A45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8105" y="0"/>
          <a:ext cx="628650" cy="75438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857250</xdr:colOff>
      <xdr:row>177</xdr:row>
      <xdr:rowOff>114301</xdr:rowOff>
    </xdr:from>
    <xdr:to>
      <xdr:col>8</xdr:col>
      <xdr:colOff>427459</xdr:colOff>
      <xdr:row>180</xdr:row>
      <xdr:rowOff>108905</xdr:rowOff>
    </xdr:to>
    <xdr:pic>
      <xdr:nvPicPr>
        <xdr:cNvPr id="3" name="Bild 2">
          <a:extLst>
            <a:ext uri="{FF2B5EF4-FFF2-40B4-BE49-F238E27FC236}">
              <a16:creationId xmlns:a16="http://schemas.microsoft.com/office/drawing/2014/main" id="{9D5B7D7B-D2E4-41F9-B3B8-B5C8F4F131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30822901"/>
          <a:ext cx="1894309" cy="45180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691558-015D-451F-B12F-6508EF095FE5}" name="PesquisarCompartimento23" displayName="PesquisarCompartimento23" ref="A2:K50" headerRowDxfId="21" dataDxfId="20" totalsRowDxfId="19">
  <autoFilter ref="A2:K50" xr:uid="{55691558-015D-451F-B12F-6508EF095FE5}"/>
  <sortState xmlns:xlrd2="http://schemas.microsoft.com/office/spreadsheetml/2017/richdata2" ref="A3:K50">
    <sortCondition ref="A2:A50"/>
  </sortState>
  <tableColumns count="11">
    <tableColumn id="1" xr3:uid="{2BDC4A54-07AC-4112-AC56-296C7309B7FD}" name="TAG" totalsRowLabel="Total" dataDxfId="18" dataCellStyle="Detalhes da tabela alinhados à esquerda"/>
    <tableColumn id="8" xr3:uid="{FF230295-5FD0-4011-A4E7-0E6CAB96966A}" name="COLABORADOR" dataDxfId="17" dataCellStyle="Detalhes da tabela alinhados à esquerda"/>
    <tableColumn id="10" xr3:uid="{6D70919F-06DD-4DAD-8A25-5DF2218A0BCE}" name="SETOR" dataDxfId="16" dataCellStyle="Detalhes da tabela alinhados à esquerda"/>
    <tableColumn id="7" xr3:uid="{2F6D1CCC-1E08-4260-887F-09164C229B9B}" name="EQUIPAMENTO" dataDxfId="15" dataCellStyle="Detalhes da tabela alinhados à esquerda"/>
    <tableColumn id="9" xr3:uid="{D0D846CB-EBC8-4717-8236-C1A5D088D8B1}" name="MARCA" dataDxfId="14" dataCellStyle="Detalhes da tabela alinhados à esquerda"/>
    <tableColumn id="6" xr3:uid="{22B3345B-2EC8-4452-8609-EA3E1FD99136}" name="MODELO" dataDxfId="13" dataCellStyle="Detalhes da tabela alinhados à esquerda"/>
    <tableColumn id="11" xr3:uid="{DB1E3AF9-8841-4635-87CA-656C3CD47165}" name="DESCRIÇAO" dataDxfId="12" dataCellStyle="Detalhes da tabela alinhados à esquerda"/>
    <tableColumn id="3" xr3:uid="{F64E9D77-DF07-4546-A210-E92507E45491}" name="LOCAL" dataDxfId="11" dataCellStyle="Detalhes da tabela centralizados"/>
    <tableColumn id="2" xr3:uid="{709E1C03-BBAF-4E91-B492-7939AF21B4D4}" name="LICENÇA WINDOWS" dataDxfId="10" totalsRowDxfId="9"/>
    <tableColumn id="4" xr3:uid="{2B806B89-CF9A-43C0-8F98-DFF01DE5E31C}" name="LICENÇA OFFICE" dataDxfId="8" totalsRowDxfId="7"/>
    <tableColumn id="12" xr3:uid="{84A93729-F744-43C4-A28A-597F38932E94}" name="Valor" dataDxfId="6" totalsRowDxfId="5"/>
  </tableColumns>
  <tableStyleInfo name="Estoque do Armazém" showFirstColumn="0" showLastColumn="0" showRowStripes="1" showColumnStripes="0"/>
  <extLst>
    <ext xmlns:x14="http://schemas.microsoft.com/office/spreadsheetml/2009/9/main" uri="{504A1905-F514-4f6f-8877-14C23A59335A}">
      <x14:table altTextSummary="Detalhes sobre compartimentos de estoque, como número, descrição, local, largura, altura e comprimento do compartimento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ECE28-E598-463A-9D89-0566B46222D2}" name="Tabela1" displayName="Tabela1" ref="A3:C6" totalsRowShown="0" headerRowDxfId="4" dataDxfId="3">
  <autoFilter ref="A3:C6" xr:uid="{4B9ECE28-E598-463A-9D89-0566B46222D2}"/>
  <tableColumns count="3">
    <tableColumn id="1" xr3:uid="{FBF6183B-FDF4-4B5C-B7F2-33C9329E4D05}" name="Usuários do Strato" dataDxfId="2"/>
    <tableColumn id="2" xr3:uid="{E065A6D9-5F44-4599-A452-30D6AE988269}" name="FUNÇÃO" dataDxfId="1"/>
    <tableColumn id="3" xr3:uid="{52873766-87D0-47F9-8D76-B8C6032F1F41}" name="EMPRESA" dataDxfId="0"/>
  </tableColumns>
  <tableStyleInfo name="Estoque do Armazém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://10.1.0.248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Conde@2026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mailto:aurora.loc.sa@gmail.com" TargetMode="External"/><Relationship Id="rId7" Type="http://schemas.openxmlformats.org/officeDocument/2006/relationships/hyperlink" Target="mailto:residenciaconde@outlook.com" TargetMode="External"/><Relationship Id="rId12" Type="http://schemas.openxmlformats.org/officeDocument/2006/relationships/hyperlink" Target="mailto:t.i@avancoconstrucoes.com.br" TargetMode="External"/><Relationship Id="rId2" Type="http://schemas.openxmlformats.org/officeDocument/2006/relationships/hyperlink" Target="mailto:energia.spe.sa@gmail.com" TargetMode="External"/><Relationship Id="rId1" Type="http://schemas.openxmlformats.org/officeDocument/2006/relationships/hyperlink" Target="mailto:avancoconstrucoes2024@gmail.com" TargetMode="External"/><Relationship Id="rId6" Type="http://schemas.openxmlformats.org/officeDocument/2006/relationships/hyperlink" Target="mailto:naveg.aurora@gmail.com" TargetMode="External"/><Relationship Id="rId11" Type="http://schemas.openxmlformats.org/officeDocument/2006/relationships/hyperlink" Target="mailto:auraambiental.sa@gmail.com" TargetMode="External"/><Relationship Id="rId5" Type="http://schemas.openxmlformats.org/officeDocument/2006/relationships/hyperlink" Target="mailto:fazenda.samauma.ltda@gmail.com" TargetMode="External"/><Relationship Id="rId10" Type="http://schemas.openxmlformats.org/officeDocument/2006/relationships/hyperlink" Target="mailto:avancomix@gmail.com" TargetMode="External"/><Relationship Id="rId4" Type="http://schemas.openxmlformats.org/officeDocument/2006/relationships/hyperlink" Target="mailto:holding.lacn@gmail.com" TargetMode="External"/><Relationship Id="rId9" Type="http://schemas.openxmlformats.org/officeDocument/2006/relationships/hyperlink" Target="mailto:estaleiro.aurora@gmail.co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t.i@avavncoconstrucoes.com.br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andersonluizdasilva73@gmail.com" TargetMode="External"/><Relationship Id="rId2" Type="http://schemas.openxmlformats.org/officeDocument/2006/relationships/hyperlink" Target="mailto:leandro.rocha@avancoconstrucoes.com.br" TargetMode="External"/><Relationship Id="rId1" Type="http://schemas.openxmlformats.org/officeDocument/2006/relationships/hyperlink" Target="mailto:pablohenrique86@yahoo.com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mve.vivo.com.br/sec/gestao-chips" TargetMode="External"/><Relationship Id="rId7" Type="http://schemas.openxmlformats.org/officeDocument/2006/relationships/hyperlink" Target="https://avancoconstrucao.com.br/wp-admin/edit.php?post_type=page" TargetMode="External"/><Relationship Id="rId2" Type="http://schemas.openxmlformats.org/officeDocument/2006/relationships/hyperlink" Target="mailto:admin@avancoconstrucao.com.br" TargetMode="External"/><Relationship Id="rId1" Type="http://schemas.openxmlformats.org/officeDocument/2006/relationships/hyperlink" Target="https://cliente.hostgator.com.br/sites" TargetMode="External"/><Relationship Id="rId6" Type="http://schemas.openxmlformats.org/officeDocument/2006/relationships/hyperlink" Target="mailto:t.i@avancoconstrucoes.com.br" TargetMode="External"/><Relationship Id="rId5" Type="http://schemas.openxmlformats.org/officeDocument/2006/relationships/hyperlink" Target="https://www.normas.com.br/" TargetMode="External"/><Relationship Id="rId4" Type="http://schemas.openxmlformats.org/officeDocument/2006/relationships/hyperlink" Target="mailto:robson.martins@avancoconstrucoes.com.br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F323-B55D-498C-BA0D-CE9B41589378}">
  <sheetPr>
    <tabColor theme="4"/>
  </sheetPr>
  <dimension ref="A1:AQ131"/>
  <sheetViews>
    <sheetView zoomScale="85" zoomScaleNormal="85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A67" sqref="A67"/>
    </sheetView>
  </sheetViews>
  <sheetFormatPr defaultRowHeight="24.6" customHeight="1" x14ac:dyDescent="0.35"/>
  <cols>
    <col min="1" max="1" width="22" customWidth="1"/>
    <col min="2" max="2" width="57" style="2" customWidth="1"/>
    <col min="3" max="3" width="20.1796875" customWidth="1"/>
    <col min="4" max="4" width="13.1796875" customWidth="1"/>
    <col min="5" max="5" width="32.36328125" customWidth="1"/>
    <col min="6" max="6" width="13.81640625" customWidth="1"/>
    <col min="7" max="7" width="20.6328125" customWidth="1"/>
    <col min="8" max="8" width="20.08984375" customWidth="1"/>
    <col min="9" max="9" width="29.81640625" customWidth="1"/>
    <col min="10" max="10" width="18.08984375" customWidth="1"/>
    <col min="11" max="11" width="19.36328125" customWidth="1"/>
  </cols>
  <sheetData>
    <row r="1" spans="1:11" ht="24.6" customHeight="1" x14ac:dyDescent="0.35">
      <c r="A1" s="82" t="s">
        <v>0</v>
      </c>
      <c r="B1" s="83"/>
      <c r="C1" s="83"/>
      <c r="D1" s="82"/>
      <c r="E1" s="82"/>
      <c r="F1" s="84"/>
      <c r="G1" s="84"/>
      <c r="H1" s="84"/>
      <c r="J1" s="40"/>
    </row>
    <row r="2" spans="1:11" ht="24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9" t="s">
        <v>9</v>
      </c>
      <c r="J2" s="58" t="s">
        <v>10</v>
      </c>
      <c r="K2" s="1" t="s">
        <v>11</v>
      </c>
    </row>
    <row r="3" spans="1:11" ht="24.6" customHeight="1" x14ac:dyDescent="0.35">
      <c r="A3" s="235" t="s">
        <v>12</v>
      </c>
      <c r="B3" s="72" t="s">
        <v>13</v>
      </c>
      <c r="C3" s="72" t="s">
        <v>14</v>
      </c>
      <c r="D3" s="235" t="s">
        <v>15</v>
      </c>
      <c r="E3" s="235" t="s">
        <v>16</v>
      </c>
      <c r="F3" s="235" t="s">
        <v>17</v>
      </c>
      <c r="G3" s="333" t="s">
        <v>18</v>
      </c>
      <c r="H3" s="333" t="s">
        <v>19</v>
      </c>
      <c r="I3" s="239" t="s">
        <v>20</v>
      </c>
      <c r="J3" s="239" t="s">
        <v>21</v>
      </c>
      <c r="K3" s="334">
        <v>3349</v>
      </c>
    </row>
    <row r="4" spans="1:11" s="57" customFormat="1" ht="24.6" customHeight="1" x14ac:dyDescent="0.35">
      <c r="A4" s="85" t="s">
        <v>22</v>
      </c>
      <c r="B4" s="85" t="s">
        <v>23</v>
      </c>
      <c r="C4" s="85" t="s">
        <v>24</v>
      </c>
      <c r="D4" s="85" t="s">
        <v>15</v>
      </c>
      <c r="E4" s="85" t="s">
        <v>16</v>
      </c>
      <c r="F4" s="85" t="s">
        <v>25</v>
      </c>
      <c r="G4" s="86" t="s">
        <v>18</v>
      </c>
      <c r="H4" s="86" t="s">
        <v>26</v>
      </c>
      <c r="I4" s="239" t="s">
        <v>20</v>
      </c>
      <c r="J4" s="69" t="s">
        <v>27</v>
      </c>
      <c r="K4" s="70">
        <v>2887</v>
      </c>
    </row>
    <row r="5" spans="1:11" ht="24.6" customHeight="1" x14ac:dyDescent="0.35">
      <c r="A5" s="85" t="s">
        <v>28</v>
      </c>
      <c r="B5" s="85" t="s">
        <v>29</v>
      </c>
      <c r="C5" s="85" t="s">
        <v>30</v>
      </c>
      <c r="D5" s="85" t="s">
        <v>15</v>
      </c>
      <c r="E5" s="85" t="s">
        <v>16</v>
      </c>
      <c r="F5" s="85" t="s">
        <v>31</v>
      </c>
      <c r="G5" s="86" t="s">
        <v>32</v>
      </c>
      <c r="H5" s="86" t="s">
        <v>19</v>
      </c>
      <c r="I5" s="239" t="s">
        <v>20</v>
      </c>
      <c r="J5" s="69" t="s">
        <v>21</v>
      </c>
      <c r="K5" s="70">
        <v>2621.73</v>
      </c>
    </row>
    <row r="6" spans="1:11" ht="24" customHeight="1" x14ac:dyDescent="0.35">
      <c r="A6" s="85" t="s">
        <v>33</v>
      </c>
      <c r="B6" s="85" t="s">
        <v>34</v>
      </c>
      <c r="C6" s="85" t="s">
        <v>35</v>
      </c>
      <c r="D6" s="85" t="s">
        <v>15</v>
      </c>
      <c r="E6" s="85" t="s">
        <v>16</v>
      </c>
      <c r="F6" s="85" t="s">
        <v>25</v>
      </c>
      <c r="G6" s="86" t="s">
        <v>18</v>
      </c>
      <c r="H6" s="86" t="s">
        <v>19</v>
      </c>
      <c r="I6" s="239" t="s">
        <v>20</v>
      </c>
      <c r="J6" s="69" t="s">
        <v>21</v>
      </c>
      <c r="K6" s="70">
        <v>3215.67</v>
      </c>
    </row>
    <row r="7" spans="1:11" ht="24.6" customHeight="1" x14ac:dyDescent="0.35">
      <c r="A7" s="85" t="s">
        <v>36</v>
      </c>
      <c r="B7" s="85" t="s">
        <v>37</v>
      </c>
      <c r="C7" s="85" t="s">
        <v>30</v>
      </c>
      <c r="D7" s="85" t="s">
        <v>15</v>
      </c>
      <c r="E7" s="85" t="s">
        <v>16</v>
      </c>
      <c r="F7" s="85" t="s">
        <v>31</v>
      </c>
      <c r="G7" s="86" t="s">
        <v>32</v>
      </c>
      <c r="H7" s="86" t="s">
        <v>19</v>
      </c>
      <c r="I7" s="239" t="s">
        <v>20</v>
      </c>
      <c r="J7" s="69" t="s">
        <v>21</v>
      </c>
      <c r="K7" s="70">
        <v>2695.6</v>
      </c>
    </row>
    <row r="8" spans="1:11" ht="24.6" customHeight="1" x14ac:dyDescent="0.35">
      <c r="A8" s="85" t="s">
        <v>38</v>
      </c>
      <c r="B8" s="425" t="s">
        <v>39</v>
      </c>
      <c r="C8" s="72" t="s">
        <v>40</v>
      </c>
      <c r="D8" s="85" t="s">
        <v>15</v>
      </c>
      <c r="E8" s="85" t="s">
        <v>41</v>
      </c>
      <c r="F8" s="85" t="s">
        <v>42</v>
      </c>
      <c r="G8" s="85" t="s">
        <v>43</v>
      </c>
      <c r="H8" s="86" t="s">
        <v>19</v>
      </c>
      <c r="I8" s="239" t="s">
        <v>20</v>
      </c>
      <c r="J8" s="69" t="s">
        <v>21</v>
      </c>
      <c r="K8" s="74">
        <v>2962</v>
      </c>
    </row>
    <row r="9" spans="1:11" ht="24.6" customHeight="1" x14ac:dyDescent="0.35">
      <c r="A9" s="85" t="s">
        <v>44</v>
      </c>
      <c r="B9" s="79" t="s">
        <v>45</v>
      </c>
      <c r="C9" s="85" t="s">
        <v>46</v>
      </c>
      <c r="D9" s="85" t="s">
        <v>15</v>
      </c>
      <c r="E9" s="85" t="s">
        <v>16</v>
      </c>
      <c r="F9" s="85" t="s">
        <v>47</v>
      </c>
      <c r="G9" s="85" t="s">
        <v>48</v>
      </c>
      <c r="H9" s="86" t="s">
        <v>19</v>
      </c>
      <c r="I9" s="239" t="s">
        <v>20</v>
      </c>
      <c r="J9" s="69" t="s">
        <v>21</v>
      </c>
      <c r="K9" s="70">
        <v>4350</v>
      </c>
    </row>
    <row r="10" spans="1:11" ht="24.6" customHeight="1" x14ac:dyDescent="0.35">
      <c r="A10" s="85" t="s">
        <v>49</v>
      </c>
      <c r="B10" s="425" t="s">
        <v>50</v>
      </c>
      <c r="C10" s="85" t="s">
        <v>51</v>
      </c>
      <c r="D10" s="85" t="s">
        <v>15</v>
      </c>
      <c r="E10" s="85" t="s">
        <v>41</v>
      </c>
      <c r="F10" s="85" t="s">
        <v>42</v>
      </c>
      <c r="G10" s="85" t="s">
        <v>52</v>
      </c>
      <c r="H10" s="86" t="s">
        <v>26</v>
      </c>
      <c r="I10" s="239" t="s">
        <v>20</v>
      </c>
      <c r="J10" s="69" t="s">
        <v>21</v>
      </c>
      <c r="K10" s="74">
        <v>2789</v>
      </c>
    </row>
    <row r="11" spans="1:11" ht="23.25" customHeight="1" x14ac:dyDescent="0.35">
      <c r="A11" s="85" t="s">
        <v>53</v>
      </c>
      <c r="B11" s="72" t="s">
        <v>54</v>
      </c>
      <c r="C11" s="85" t="s">
        <v>55</v>
      </c>
      <c r="D11" s="85" t="s">
        <v>15</v>
      </c>
      <c r="E11" s="85" t="s">
        <v>16</v>
      </c>
      <c r="F11" s="85" t="s">
        <v>31</v>
      </c>
      <c r="G11" s="86" t="s">
        <v>32</v>
      </c>
      <c r="H11" s="86" t="s">
        <v>26</v>
      </c>
      <c r="I11" s="239" t="s">
        <v>20</v>
      </c>
      <c r="J11" s="69" t="s">
        <v>21</v>
      </c>
      <c r="K11" s="70">
        <v>2695.6</v>
      </c>
    </row>
    <row r="12" spans="1:11" ht="24" customHeight="1" x14ac:dyDescent="0.35">
      <c r="A12" s="85" t="s">
        <v>56</v>
      </c>
      <c r="B12" s="75" t="s">
        <v>57</v>
      </c>
      <c r="C12" s="85" t="s">
        <v>55</v>
      </c>
      <c r="D12" s="85" t="s">
        <v>15</v>
      </c>
      <c r="E12" s="85" t="s">
        <v>16</v>
      </c>
      <c r="F12" s="85" t="s">
        <v>31</v>
      </c>
      <c r="G12" s="85" t="s">
        <v>18</v>
      </c>
      <c r="H12" s="86" t="s">
        <v>26</v>
      </c>
      <c r="I12" s="239" t="s">
        <v>20</v>
      </c>
      <c r="J12" s="69" t="s">
        <v>21</v>
      </c>
      <c r="K12" s="70">
        <v>3349</v>
      </c>
    </row>
    <row r="13" spans="1:11" ht="24.6" customHeight="1" x14ac:dyDescent="0.35">
      <c r="A13" s="85" t="s">
        <v>58</v>
      </c>
      <c r="B13" s="85" t="s">
        <v>59</v>
      </c>
      <c r="C13" s="85" t="s">
        <v>60</v>
      </c>
      <c r="D13" s="85" t="s">
        <v>15</v>
      </c>
      <c r="E13" s="85" t="s">
        <v>16</v>
      </c>
      <c r="F13" s="85" t="s">
        <v>31</v>
      </c>
      <c r="G13" s="85" t="s">
        <v>18</v>
      </c>
      <c r="H13" s="86" t="s">
        <v>26</v>
      </c>
      <c r="I13" s="239" t="s">
        <v>20</v>
      </c>
      <c r="J13" s="69" t="s">
        <v>21</v>
      </c>
      <c r="K13" s="70">
        <v>3349</v>
      </c>
    </row>
    <row r="14" spans="1:11" ht="24.6" customHeight="1" x14ac:dyDescent="0.35">
      <c r="A14" s="85" t="s">
        <v>61</v>
      </c>
      <c r="B14" s="85" t="s">
        <v>62</v>
      </c>
      <c r="C14" s="85" t="s">
        <v>63</v>
      </c>
      <c r="D14" s="85" t="s">
        <v>15</v>
      </c>
      <c r="E14" s="85" t="s">
        <v>64</v>
      </c>
      <c r="F14" s="85" t="s">
        <v>65</v>
      </c>
      <c r="G14" s="85" t="s">
        <v>18</v>
      </c>
      <c r="H14" s="86" t="s">
        <v>26</v>
      </c>
      <c r="I14" s="239" t="s">
        <v>20</v>
      </c>
      <c r="J14" s="69" t="s">
        <v>21</v>
      </c>
      <c r="K14" s="245">
        <v>3557.83</v>
      </c>
    </row>
    <row r="15" spans="1:11" ht="24.6" customHeight="1" x14ac:dyDescent="0.35">
      <c r="A15" s="85" t="s">
        <v>66</v>
      </c>
      <c r="B15" s="425" t="s">
        <v>39</v>
      </c>
      <c r="C15" s="85" t="s">
        <v>67</v>
      </c>
      <c r="D15" s="85" t="s">
        <v>15</v>
      </c>
      <c r="E15" s="85" t="s">
        <v>16</v>
      </c>
      <c r="F15" s="85" t="s">
        <v>31</v>
      </c>
      <c r="G15" s="85" t="s">
        <v>32</v>
      </c>
      <c r="H15" s="86" t="s">
        <v>19</v>
      </c>
      <c r="I15" s="239" t="s">
        <v>20</v>
      </c>
      <c r="J15" s="69" t="s">
        <v>21</v>
      </c>
      <c r="K15" s="70">
        <v>2621.73</v>
      </c>
    </row>
    <row r="16" spans="1:11" ht="24.6" customHeight="1" x14ac:dyDescent="0.35">
      <c r="A16" s="85" t="s">
        <v>68</v>
      </c>
      <c r="B16" s="426" t="s">
        <v>69</v>
      </c>
      <c r="C16" s="85" t="s">
        <v>67</v>
      </c>
      <c r="D16" s="85" t="s">
        <v>15</v>
      </c>
      <c r="E16" s="85" t="s">
        <v>16</v>
      </c>
      <c r="F16" s="85" t="s">
        <v>31</v>
      </c>
      <c r="G16" s="85" t="s">
        <v>32</v>
      </c>
      <c r="H16" s="86" t="s">
        <v>19</v>
      </c>
      <c r="I16" s="69" t="s">
        <v>20</v>
      </c>
      <c r="J16" s="69" t="s">
        <v>21</v>
      </c>
      <c r="K16" s="70">
        <v>3399</v>
      </c>
    </row>
    <row r="17" spans="1:43" ht="24.6" customHeight="1" x14ac:dyDescent="0.35">
      <c r="A17" s="93" t="s">
        <v>70</v>
      </c>
      <c r="B17" s="93" t="s">
        <v>71</v>
      </c>
      <c r="C17" s="93" t="s">
        <v>72</v>
      </c>
      <c r="D17" s="93" t="s">
        <v>15</v>
      </c>
      <c r="E17" s="93" t="s">
        <v>16</v>
      </c>
      <c r="F17" s="93" t="s">
        <v>73</v>
      </c>
      <c r="G17" s="93" t="s">
        <v>18</v>
      </c>
      <c r="H17" s="89" t="s">
        <v>19</v>
      </c>
      <c r="I17" s="73" t="s">
        <v>20</v>
      </c>
      <c r="J17" s="73" t="s">
        <v>21</v>
      </c>
      <c r="K17" s="78">
        <v>4200</v>
      </c>
    </row>
    <row r="18" spans="1:43" s="3" customFormat="1" ht="24.6" customHeight="1" x14ac:dyDescent="0.35">
      <c r="A18" s="94" t="s">
        <v>74</v>
      </c>
      <c r="B18" s="94" t="s">
        <v>75</v>
      </c>
      <c r="C18" s="94" t="s">
        <v>35</v>
      </c>
      <c r="D18" s="94" t="s">
        <v>15</v>
      </c>
      <c r="E18" s="94" t="s">
        <v>16</v>
      </c>
      <c r="F18" s="94" t="s">
        <v>73</v>
      </c>
      <c r="G18" s="94" t="s">
        <v>18</v>
      </c>
      <c r="H18" s="88" t="s">
        <v>76</v>
      </c>
      <c r="I18" s="71" t="s">
        <v>20</v>
      </c>
      <c r="J18" s="71" t="s">
        <v>21</v>
      </c>
      <c r="K18" s="343">
        <v>4200</v>
      </c>
    </row>
    <row r="19" spans="1:43" s="98" customFormat="1" ht="24.6" customHeight="1" x14ac:dyDescent="0.35">
      <c r="A19" s="94" t="s">
        <v>77</v>
      </c>
      <c r="B19" s="235" t="s">
        <v>78</v>
      </c>
      <c r="C19" s="85" t="s">
        <v>79</v>
      </c>
      <c r="D19" s="67" t="s">
        <v>15</v>
      </c>
      <c r="E19" s="67" t="s">
        <v>16</v>
      </c>
      <c r="F19" s="85" t="s">
        <v>80</v>
      </c>
      <c r="G19" s="86" t="s">
        <v>81</v>
      </c>
      <c r="H19" s="68" t="s">
        <v>19</v>
      </c>
      <c r="I19" s="69" t="s">
        <v>20</v>
      </c>
      <c r="J19" s="69" t="s">
        <v>21</v>
      </c>
      <c r="K19" s="70">
        <v>4700</v>
      </c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</row>
    <row r="20" spans="1:43" s="57" customFormat="1" ht="24.6" customHeight="1" x14ac:dyDescent="0.35">
      <c r="A20" s="85" t="s">
        <v>82</v>
      </c>
      <c r="B20" s="85" t="s">
        <v>83</v>
      </c>
      <c r="C20" s="67" t="s">
        <v>84</v>
      </c>
      <c r="D20" s="67" t="s">
        <v>15</v>
      </c>
      <c r="E20" s="67" t="s">
        <v>16</v>
      </c>
      <c r="F20" s="67" t="s">
        <v>25</v>
      </c>
      <c r="G20" s="67" t="s">
        <v>85</v>
      </c>
      <c r="H20" s="68" t="s">
        <v>19</v>
      </c>
      <c r="I20" s="69" t="s">
        <v>20</v>
      </c>
      <c r="J20" s="69" t="s">
        <v>21</v>
      </c>
      <c r="K20" s="70">
        <v>3216.67</v>
      </c>
    </row>
    <row r="21" spans="1:43" ht="24.6" customHeight="1" x14ac:dyDescent="0.35">
      <c r="A21" s="425" t="s">
        <v>86</v>
      </c>
      <c r="B21" s="425" t="s">
        <v>87</v>
      </c>
      <c r="C21" s="85" t="s">
        <v>79</v>
      </c>
      <c r="D21" s="425" t="s">
        <v>15</v>
      </c>
      <c r="E21" s="425" t="s">
        <v>88</v>
      </c>
      <c r="F21" s="85" t="s">
        <v>89</v>
      </c>
      <c r="G21" s="425" t="s">
        <v>18</v>
      </c>
      <c r="H21" s="427" t="s">
        <v>19</v>
      </c>
      <c r="I21" s="69" t="s">
        <v>20</v>
      </c>
      <c r="J21" s="69" t="s">
        <v>21</v>
      </c>
      <c r="K21" s="74">
        <v>2749</v>
      </c>
    </row>
    <row r="22" spans="1:43" s="3" customFormat="1" ht="23.25" customHeight="1" x14ac:dyDescent="0.35">
      <c r="A22" s="428" t="s">
        <v>90</v>
      </c>
      <c r="B22" s="241" t="s">
        <v>91</v>
      </c>
      <c r="C22" s="94" t="s">
        <v>92</v>
      </c>
      <c r="D22" s="428" t="s">
        <v>15</v>
      </c>
      <c r="E22" s="428" t="s">
        <v>93</v>
      </c>
      <c r="F22" s="428" t="s">
        <v>94</v>
      </c>
      <c r="G22" s="428" t="s">
        <v>18</v>
      </c>
      <c r="H22" s="429" t="s">
        <v>19</v>
      </c>
      <c r="I22" s="71" t="s">
        <v>20</v>
      </c>
      <c r="J22" s="71" t="s">
        <v>21</v>
      </c>
      <c r="K22" s="242">
        <v>2962</v>
      </c>
    </row>
    <row r="23" spans="1:43" ht="24.6" customHeight="1" x14ac:dyDescent="0.35">
      <c r="A23" s="85" t="s">
        <v>95</v>
      </c>
      <c r="B23" s="85" t="s">
        <v>96</v>
      </c>
      <c r="C23" s="85" t="s">
        <v>97</v>
      </c>
      <c r="D23" s="85" t="s">
        <v>15</v>
      </c>
      <c r="E23" s="85" t="s">
        <v>16</v>
      </c>
      <c r="F23" s="85" t="s">
        <v>31</v>
      </c>
      <c r="G23" s="85" t="s">
        <v>32</v>
      </c>
      <c r="H23" s="86" t="s">
        <v>26</v>
      </c>
      <c r="I23" s="69" t="s">
        <v>20</v>
      </c>
      <c r="J23" s="69" t="s">
        <v>21</v>
      </c>
      <c r="K23" s="74">
        <v>2749</v>
      </c>
    </row>
    <row r="24" spans="1:43" ht="24.6" customHeight="1" x14ac:dyDescent="0.35">
      <c r="A24" s="85" t="s">
        <v>98</v>
      </c>
      <c r="B24" s="75" t="s">
        <v>99</v>
      </c>
      <c r="C24" s="87" t="s">
        <v>100</v>
      </c>
      <c r="D24" s="67" t="s">
        <v>15</v>
      </c>
      <c r="E24" s="87" t="s">
        <v>16</v>
      </c>
      <c r="F24" s="85" t="s">
        <v>25</v>
      </c>
      <c r="G24" s="85" t="s">
        <v>101</v>
      </c>
      <c r="H24" s="427" t="s">
        <v>19</v>
      </c>
      <c r="I24" s="69" t="s">
        <v>20</v>
      </c>
      <c r="J24" s="69" t="s">
        <v>27</v>
      </c>
      <c r="K24" s="245">
        <v>3245</v>
      </c>
    </row>
    <row r="25" spans="1:43" ht="24" customHeight="1" x14ac:dyDescent="0.35">
      <c r="A25" s="425" t="s">
        <v>102</v>
      </c>
      <c r="B25" s="425" t="s">
        <v>103</v>
      </c>
      <c r="C25" s="425" t="s">
        <v>35</v>
      </c>
      <c r="D25" s="425" t="s">
        <v>15</v>
      </c>
      <c r="E25" s="425" t="s">
        <v>88</v>
      </c>
      <c r="F25" s="425" t="s">
        <v>89</v>
      </c>
      <c r="G25" s="425" t="s">
        <v>104</v>
      </c>
      <c r="H25" s="427" t="s">
        <v>19</v>
      </c>
      <c r="I25" s="69" t="s">
        <v>20</v>
      </c>
      <c r="J25" s="69" t="s">
        <v>21</v>
      </c>
      <c r="K25" s="74">
        <v>3349</v>
      </c>
    </row>
    <row r="26" spans="1:43" s="57" customFormat="1" ht="24" customHeight="1" x14ac:dyDescent="0.35">
      <c r="A26" s="85" t="s">
        <v>105</v>
      </c>
      <c r="B26" s="405" t="s">
        <v>106</v>
      </c>
      <c r="C26" s="57" t="s">
        <v>107</v>
      </c>
      <c r="D26" s="425" t="s">
        <v>15</v>
      </c>
      <c r="E26" s="85" t="s">
        <v>16</v>
      </c>
      <c r="F26" s="85" t="s">
        <v>25</v>
      </c>
      <c r="G26" s="85" t="s">
        <v>18</v>
      </c>
      <c r="H26" s="427" t="s">
        <v>19</v>
      </c>
      <c r="I26" s="69" t="s">
        <v>20</v>
      </c>
      <c r="J26" s="69" t="s">
        <v>27</v>
      </c>
      <c r="K26" s="74">
        <v>3978</v>
      </c>
    </row>
    <row r="27" spans="1:43" ht="24.6" customHeight="1" x14ac:dyDescent="0.35">
      <c r="A27" s="87" t="s">
        <v>108</v>
      </c>
      <c r="B27" s="425" t="s">
        <v>109</v>
      </c>
      <c r="C27" s="85" t="s">
        <v>110</v>
      </c>
      <c r="D27" s="85" t="s">
        <v>15</v>
      </c>
      <c r="E27" s="85" t="s">
        <v>16</v>
      </c>
      <c r="F27" s="85" t="s">
        <v>25</v>
      </c>
      <c r="G27" s="86" t="s">
        <v>32</v>
      </c>
      <c r="H27" s="86" t="s">
        <v>19</v>
      </c>
      <c r="I27" s="69" t="s">
        <v>20</v>
      </c>
      <c r="J27" s="69" t="s">
        <v>21</v>
      </c>
      <c r="K27" s="70">
        <v>2695.6</v>
      </c>
    </row>
    <row r="28" spans="1:43" ht="24.6" customHeight="1" x14ac:dyDescent="0.35">
      <c r="A28" s="85" t="s">
        <v>111</v>
      </c>
      <c r="B28" s="85" t="s">
        <v>112</v>
      </c>
      <c r="C28" s="85" t="s">
        <v>79</v>
      </c>
      <c r="D28" s="85" t="s">
        <v>15</v>
      </c>
      <c r="E28" s="85" t="s">
        <v>16</v>
      </c>
      <c r="F28" s="85" t="s">
        <v>73</v>
      </c>
      <c r="G28" s="85" t="s">
        <v>18</v>
      </c>
      <c r="H28" s="86" t="s">
        <v>26</v>
      </c>
      <c r="I28" s="69" t="s">
        <v>20</v>
      </c>
      <c r="J28" s="69" t="s">
        <v>21</v>
      </c>
      <c r="K28" s="249">
        <v>4200</v>
      </c>
    </row>
    <row r="29" spans="1:43" ht="24.6" customHeight="1" x14ac:dyDescent="0.35">
      <c r="A29" s="85" t="s">
        <v>113</v>
      </c>
      <c r="B29" s="85" t="s">
        <v>114</v>
      </c>
      <c r="C29" s="85" t="s">
        <v>115</v>
      </c>
      <c r="D29" s="85" t="s">
        <v>15</v>
      </c>
      <c r="E29" s="85" t="s">
        <v>88</v>
      </c>
      <c r="F29" s="85" t="s">
        <v>89</v>
      </c>
      <c r="G29" s="85" t="s">
        <v>116</v>
      </c>
      <c r="H29" s="86" t="s">
        <v>19</v>
      </c>
      <c r="I29" s="69" t="s">
        <v>20</v>
      </c>
      <c r="J29" s="69" t="s">
        <v>21</v>
      </c>
      <c r="K29" s="74">
        <v>4297.4799999999996</v>
      </c>
    </row>
    <row r="30" spans="1:43" ht="24.6" customHeight="1" x14ac:dyDescent="0.35">
      <c r="A30" s="85" t="s">
        <v>117</v>
      </c>
      <c r="B30" s="85" t="s">
        <v>118</v>
      </c>
      <c r="C30" s="85" t="s">
        <v>79</v>
      </c>
      <c r="D30" s="85" t="s">
        <v>15</v>
      </c>
      <c r="E30" s="85" t="s">
        <v>16</v>
      </c>
      <c r="F30" s="85" t="s">
        <v>73</v>
      </c>
      <c r="G30" s="85" t="s">
        <v>116</v>
      </c>
      <c r="H30" s="86" t="s">
        <v>19</v>
      </c>
      <c r="I30" s="69" t="s">
        <v>20</v>
      </c>
      <c r="J30" s="69" t="s">
        <v>21</v>
      </c>
      <c r="K30" s="70">
        <v>5091.99</v>
      </c>
    </row>
    <row r="31" spans="1:43" ht="24.6" customHeight="1" x14ac:dyDescent="0.35">
      <c r="A31" s="85" t="s">
        <v>119</v>
      </c>
      <c r="B31" s="85" t="s">
        <v>120</v>
      </c>
      <c r="C31" s="85" t="s">
        <v>67</v>
      </c>
      <c r="D31" s="85" t="s">
        <v>15</v>
      </c>
      <c r="E31" s="67" t="s">
        <v>16</v>
      </c>
      <c r="F31" s="85" t="s">
        <v>31</v>
      </c>
      <c r="G31" s="85" t="s">
        <v>18</v>
      </c>
      <c r="H31" s="68" t="s">
        <v>19</v>
      </c>
      <c r="I31" s="69" t="s">
        <v>20</v>
      </c>
      <c r="J31" s="69" t="s">
        <v>21</v>
      </c>
      <c r="K31" s="74">
        <v>2749</v>
      </c>
    </row>
    <row r="32" spans="1:43" s="3" customFormat="1" ht="24.6" customHeight="1" x14ac:dyDescent="0.35">
      <c r="A32" s="243" t="s">
        <v>121</v>
      </c>
      <c r="B32" s="243" t="s">
        <v>122</v>
      </c>
      <c r="C32" s="243" t="s">
        <v>97</v>
      </c>
      <c r="D32" s="243" t="s">
        <v>15</v>
      </c>
      <c r="E32" s="243" t="s">
        <v>123</v>
      </c>
      <c r="F32" s="243" t="s">
        <v>89</v>
      </c>
      <c r="G32" s="94" t="s">
        <v>116</v>
      </c>
      <c r="H32" s="244" t="s">
        <v>26</v>
      </c>
      <c r="I32" s="71" t="s">
        <v>20</v>
      </c>
      <c r="J32" s="71" t="s">
        <v>21</v>
      </c>
      <c r="K32" s="242">
        <v>4297.4799999999996</v>
      </c>
    </row>
    <row r="33" spans="1:11" ht="24" customHeight="1" x14ac:dyDescent="0.35">
      <c r="A33" s="85" t="s">
        <v>124</v>
      </c>
      <c r="B33" s="67" t="s">
        <v>125</v>
      </c>
      <c r="C33" s="85" t="s">
        <v>67</v>
      </c>
      <c r="D33" s="67" t="s">
        <v>15</v>
      </c>
      <c r="E33" s="67" t="s">
        <v>16</v>
      </c>
      <c r="F33" s="85" t="s">
        <v>25</v>
      </c>
      <c r="G33" s="2" t="s">
        <v>126</v>
      </c>
      <c r="H33" s="68" t="s">
        <v>26</v>
      </c>
      <c r="I33" s="69" t="s">
        <v>20</v>
      </c>
      <c r="J33" s="69" t="s">
        <v>21</v>
      </c>
      <c r="K33" s="70">
        <v>3399</v>
      </c>
    </row>
    <row r="34" spans="1:11" ht="24.6" customHeight="1" x14ac:dyDescent="0.35">
      <c r="A34" s="85" t="s">
        <v>127</v>
      </c>
      <c r="B34" s="85" t="s">
        <v>128</v>
      </c>
      <c r="C34" s="85" t="s">
        <v>129</v>
      </c>
      <c r="D34" s="85" t="s">
        <v>15</v>
      </c>
      <c r="E34" s="85" t="s">
        <v>88</v>
      </c>
      <c r="F34" s="85" t="s">
        <v>89</v>
      </c>
      <c r="G34" s="85" t="s">
        <v>116</v>
      </c>
      <c r="H34" s="86" t="s">
        <v>19</v>
      </c>
      <c r="I34" s="69" t="s">
        <v>20</v>
      </c>
      <c r="J34" s="69" t="s">
        <v>21</v>
      </c>
      <c r="K34" s="74">
        <v>4297.4799999999996</v>
      </c>
    </row>
    <row r="35" spans="1:11" ht="24.6" customHeight="1" x14ac:dyDescent="0.35">
      <c r="A35" s="85" t="s">
        <v>130</v>
      </c>
      <c r="B35" s="425" t="s">
        <v>131</v>
      </c>
      <c r="C35" s="85" t="s">
        <v>35</v>
      </c>
      <c r="D35" s="85" t="s">
        <v>15</v>
      </c>
      <c r="E35" s="85" t="s">
        <v>88</v>
      </c>
      <c r="F35" s="85" t="s">
        <v>89</v>
      </c>
      <c r="G35" s="85" t="s">
        <v>132</v>
      </c>
      <c r="H35" s="86" t="s">
        <v>19</v>
      </c>
      <c r="I35" s="69" t="s">
        <v>20</v>
      </c>
      <c r="J35" s="69" t="s">
        <v>21</v>
      </c>
      <c r="K35" s="70">
        <v>3349</v>
      </c>
    </row>
    <row r="36" spans="1:11" ht="24.6" customHeight="1" x14ac:dyDescent="0.35">
      <c r="A36" s="85" t="s">
        <v>133</v>
      </c>
      <c r="B36" s="79" t="s">
        <v>134</v>
      </c>
      <c r="C36" s="85" t="s">
        <v>72</v>
      </c>
      <c r="D36" s="85" t="s">
        <v>15</v>
      </c>
      <c r="E36" s="85" t="s">
        <v>88</v>
      </c>
      <c r="F36" s="85" t="s">
        <v>89</v>
      </c>
      <c r="G36" s="85" t="s">
        <v>132</v>
      </c>
      <c r="H36" s="86" t="s">
        <v>19</v>
      </c>
      <c r="I36" s="69" t="s">
        <v>20</v>
      </c>
      <c r="J36" s="69" t="s">
        <v>21</v>
      </c>
      <c r="K36" s="70">
        <v>3349</v>
      </c>
    </row>
    <row r="37" spans="1:11" ht="24.6" customHeight="1" x14ac:dyDescent="0.35">
      <c r="A37" s="85" t="s">
        <v>135</v>
      </c>
      <c r="B37" s="85" t="s">
        <v>136</v>
      </c>
      <c r="C37" s="85" t="s">
        <v>137</v>
      </c>
      <c r="D37" s="85" t="s">
        <v>15</v>
      </c>
      <c r="E37" s="85" t="s">
        <v>16</v>
      </c>
      <c r="F37" s="85" t="s">
        <v>25</v>
      </c>
      <c r="G37" s="85" t="s">
        <v>101</v>
      </c>
      <c r="H37" s="86" t="s">
        <v>19</v>
      </c>
      <c r="I37" s="69" t="s">
        <v>20</v>
      </c>
      <c r="J37" s="69" t="s">
        <v>21</v>
      </c>
      <c r="K37" s="87" t="s">
        <v>138</v>
      </c>
    </row>
    <row r="38" spans="1:11" ht="24.6" customHeight="1" x14ac:dyDescent="0.35">
      <c r="A38" s="85" t="s">
        <v>139</v>
      </c>
      <c r="B38" s="85" t="s">
        <v>140</v>
      </c>
      <c r="C38" s="85" t="s">
        <v>35</v>
      </c>
      <c r="D38" s="67" t="s">
        <v>15</v>
      </c>
      <c r="E38" s="67" t="s">
        <v>16</v>
      </c>
      <c r="F38" s="67" t="s">
        <v>73</v>
      </c>
      <c r="G38" s="67" t="s">
        <v>85</v>
      </c>
      <c r="H38" s="68" t="s">
        <v>19</v>
      </c>
      <c r="I38" s="69" t="s">
        <v>20</v>
      </c>
      <c r="J38" s="69" t="s">
        <v>21</v>
      </c>
      <c r="K38" s="249">
        <v>4200</v>
      </c>
    </row>
    <row r="39" spans="1:11" s="34" customFormat="1" ht="24.6" customHeight="1" x14ac:dyDescent="0.35">
      <c r="A39" s="79" t="s">
        <v>141</v>
      </c>
      <c r="B39" s="79"/>
      <c r="C39" s="79" t="s">
        <v>142</v>
      </c>
      <c r="D39" s="79" t="s">
        <v>15</v>
      </c>
      <c r="E39" s="79" t="s">
        <v>123</v>
      </c>
      <c r="F39" s="79" t="s">
        <v>89</v>
      </c>
      <c r="G39" s="79" t="s">
        <v>132</v>
      </c>
      <c r="H39" s="444" t="s">
        <v>19</v>
      </c>
      <c r="I39" s="445" t="s">
        <v>20</v>
      </c>
      <c r="J39" s="445" t="s">
        <v>21</v>
      </c>
      <c r="K39" s="446">
        <v>3349</v>
      </c>
    </row>
    <row r="40" spans="1:11" s="57" customFormat="1" ht="24.6" customHeight="1" x14ac:dyDescent="0.35">
      <c r="A40" s="85" t="s">
        <v>143</v>
      </c>
      <c r="B40" s="235" t="s">
        <v>144</v>
      </c>
      <c r="C40" s="85" t="s">
        <v>145</v>
      </c>
      <c r="D40" s="85" t="s">
        <v>15</v>
      </c>
      <c r="E40" s="85" t="s">
        <v>123</v>
      </c>
      <c r="F40" s="85" t="s">
        <v>89</v>
      </c>
      <c r="G40" s="85" t="s">
        <v>132</v>
      </c>
      <c r="H40" s="86" t="s">
        <v>19</v>
      </c>
      <c r="I40" s="69" t="s">
        <v>20</v>
      </c>
      <c r="J40" s="69" t="s">
        <v>21</v>
      </c>
      <c r="K40" s="70">
        <v>3349</v>
      </c>
    </row>
    <row r="41" spans="1:11" ht="24.6" customHeight="1" x14ac:dyDescent="0.35">
      <c r="A41" s="85" t="s">
        <v>146</v>
      </c>
      <c r="B41" s="67" t="s">
        <v>147</v>
      </c>
      <c r="C41" s="67" t="s">
        <v>148</v>
      </c>
      <c r="D41" s="67" t="s">
        <v>15</v>
      </c>
      <c r="E41" s="67" t="s">
        <v>123</v>
      </c>
      <c r="F41" s="67" t="s">
        <v>89</v>
      </c>
      <c r="G41" s="67" t="s">
        <v>149</v>
      </c>
      <c r="H41" s="68" t="s">
        <v>19</v>
      </c>
      <c r="I41" s="69" t="s">
        <v>20</v>
      </c>
      <c r="J41" s="69" t="s">
        <v>21</v>
      </c>
      <c r="K41" s="70">
        <v>3215.67</v>
      </c>
    </row>
    <row r="42" spans="1:11" s="57" customFormat="1" ht="24.6" customHeight="1" x14ac:dyDescent="0.35">
      <c r="A42" s="85" t="s">
        <v>150</v>
      </c>
      <c r="B42" s="67" t="s">
        <v>151</v>
      </c>
      <c r="C42" s="67" t="s">
        <v>145</v>
      </c>
      <c r="D42" s="67" t="s">
        <v>15</v>
      </c>
      <c r="E42" s="67" t="s">
        <v>123</v>
      </c>
      <c r="F42" s="67" t="s">
        <v>89</v>
      </c>
      <c r="G42" s="67" t="s">
        <v>149</v>
      </c>
      <c r="H42" s="68" t="s">
        <v>19</v>
      </c>
      <c r="I42" s="69" t="s">
        <v>20</v>
      </c>
      <c r="J42" s="69" t="s">
        <v>21</v>
      </c>
      <c r="K42" s="70">
        <v>3215.67</v>
      </c>
    </row>
    <row r="43" spans="1:11" ht="24.6" customHeight="1" x14ac:dyDescent="0.35">
      <c r="A43" s="85" t="s">
        <v>152</v>
      </c>
      <c r="B43" s="99" t="s">
        <v>153</v>
      </c>
      <c r="C43" s="67" t="s">
        <v>67</v>
      </c>
      <c r="D43" s="67" t="s">
        <v>15</v>
      </c>
      <c r="E43" s="67" t="s">
        <v>123</v>
      </c>
      <c r="F43" s="67" t="s">
        <v>89</v>
      </c>
      <c r="G43" s="67" t="s">
        <v>149</v>
      </c>
      <c r="H43" s="68" t="s">
        <v>19</v>
      </c>
      <c r="I43" s="69" t="s">
        <v>20</v>
      </c>
      <c r="J43" s="69" t="s">
        <v>21</v>
      </c>
      <c r="K43" s="70">
        <v>3215.67</v>
      </c>
    </row>
    <row r="44" spans="1:11" ht="24.6" customHeight="1" x14ac:dyDescent="0.35">
      <c r="A44" s="85" t="s">
        <v>154</v>
      </c>
      <c r="B44" s="67" t="s">
        <v>155</v>
      </c>
      <c r="C44" s="67" t="s">
        <v>156</v>
      </c>
      <c r="D44" s="67" t="s">
        <v>15</v>
      </c>
      <c r="E44" s="67" t="s">
        <v>123</v>
      </c>
      <c r="F44" s="67" t="s">
        <v>89</v>
      </c>
      <c r="G44" s="67" t="s">
        <v>149</v>
      </c>
      <c r="H44" s="68" t="s">
        <v>19</v>
      </c>
      <c r="I44" s="69" t="s">
        <v>20</v>
      </c>
      <c r="J44" s="69" t="s">
        <v>21</v>
      </c>
      <c r="K44" s="70">
        <v>3215.67</v>
      </c>
    </row>
    <row r="45" spans="1:11" s="2" customFormat="1" ht="24.6" customHeight="1" x14ac:dyDescent="0.35">
      <c r="A45" s="85" t="s">
        <v>157</v>
      </c>
      <c r="B45" s="76" t="s">
        <v>158</v>
      </c>
      <c r="C45" s="76" t="s">
        <v>159</v>
      </c>
      <c r="D45" s="67" t="s">
        <v>15</v>
      </c>
      <c r="E45" s="85" t="s">
        <v>16</v>
      </c>
      <c r="F45" s="85" t="s">
        <v>25</v>
      </c>
      <c r="G45" s="85" t="s">
        <v>18</v>
      </c>
      <c r="H45" s="88" t="s">
        <v>26</v>
      </c>
      <c r="I45" s="69" t="s">
        <v>20</v>
      </c>
      <c r="J45" s="69" t="s">
        <v>27</v>
      </c>
      <c r="K45" s="70">
        <v>3215.67</v>
      </c>
    </row>
    <row r="46" spans="1:11" s="2" customFormat="1" ht="24.6" customHeight="1" x14ac:dyDescent="0.35">
      <c r="A46" s="85" t="s">
        <v>160</v>
      </c>
      <c r="B46" s="75" t="s">
        <v>161</v>
      </c>
      <c r="C46" s="75" t="s">
        <v>162</v>
      </c>
      <c r="D46" s="67" t="s">
        <v>15</v>
      </c>
      <c r="E46" s="85" t="s">
        <v>16</v>
      </c>
      <c r="F46" s="85" t="s">
        <v>163</v>
      </c>
      <c r="G46" s="85" t="s">
        <v>18</v>
      </c>
      <c r="H46" s="86" t="s">
        <v>26</v>
      </c>
      <c r="I46" s="69" t="s">
        <v>20</v>
      </c>
      <c r="J46" s="69" t="s">
        <v>164</v>
      </c>
      <c r="K46" s="70">
        <v>3215.67</v>
      </c>
    </row>
    <row r="47" spans="1:11" ht="24.6" customHeight="1" x14ac:dyDescent="0.35">
      <c r="A47" s="85" t="s">
        <v>165</v>
      </c>
      <c r="B47" s="85" t="s">
        <v>166</v>
      </c>
      <c r="C47" s="85" t="s">
        <v>167</v>
      </c>
      <c r="D47" s="85" t="s">
        <v>15</v>
      </c>
      <c r="E47" s="85" t="s">
        <v>16</v>
      </c>
      <c r="F47" s="85" t="s">
        <v>73</v>
      </c>
      <c r="G47" s="85" t="s">
        <v>18</v>
      </c>
      <c r="H47" s="86" t="s">
        <v>19</v>
      </c>
      <c r="I47" s="69" t="s">
        <v>20</v>
      </c>
      <c r="J47" s="69" t="s">
        <v>21</v>
      </c>
      <c r="K47" s="70">
        <v>4200</v>
      </c>
    </row>
    <row r="48" spans="1:11" ht="24.6" customHeight="1" x14ac:dyDescent="0.35">
      <c r="A48" s="85" t="s">
        <v>168</v>
      </c>
      <c r="B48" s="85" t="s">
        <v>23</v>
      </c>
      <c r="C48" s="85" t="s">
        <v>40</v>
      </c>
      <c r="D48" s="85" t="s">
        <v>15</v>
      </c>
      <c r="E48" s="85" t="s">
        <v>16</v>
      </c>
      <c r="F48" s="85" t="s">
        <v>25</v>
      </c>
      <c r="G48" s="85" t="s">
        <v>101</v>
      </c>
      <c r="H48" s="86" t="s">
        <v>19</v>
      </c>
      <c r="I48" s="69" t="s">
        <v>20</v>
      </c>
      <c r="J48" s="69" t="s">
        <v>21</v>
      </c>
      <c r="K48" s="87" t="s">
        <v>138</v>
      </c>
    </row>
    <row r="49" spans="1:11" ht="24.6" customHeight="1" x14ac:dyDescent="0.35">
      <c r="A49" s="85" t="s">
        <v>169</v>
      </c>
      <c r="B49" s="85" t="s">
        <v>170</v>
      </c>
      <c r="C49" s="85" t="s">
        <v>171</v>
      </c>
      <c r="D49" s="85" t="s">
        <v>15</v>
      </c>
      <c r="E49" s="85" t="s">
        <v>16</v>
      </c>
      <c r="F49" s="85" t="s">
        <v>25</v>
      </c>
      <c r="G49" s="85" t="s">
        <v>101</v>
      </c>
      <c r="H49" s="86" t="s">
        <v>142</v>
      </c>
      <c r="I49" s="69" t="s">
        <v>20</v>
      </c>
      <c r="J49" s="69" t="s">
        <v>21</v>
      </c>
      <c r="K49" s="87" t="s">
        <v>138</v>
      </c>
    </row>
    <row r="50" spans="1:11" ht="24.6" customHeight="1" x14ac:dyDescent="0.35">
      <c r="A50" s="85" t="s">
        <v>172</v>
      </c>
      <c r="B50" s="85" t="s">
        <v>173</v>
      </c>
      <c r="C50" s="85" t="s">
        <v>79</v>
      </c>
      <c r="D50" s="85" t="s">
        <v>15</v>
      </c>
      <c r="E50" s="85" t="s">
        <v>16</v>
      </c>
      <c r="F50" s="67" t="s">
        <v>73</v>
      </c>
      <c r="G50" s="67" t="s">
        <v>85</v>
      </c>
      <c r="H50" s="86" t="s">
        <v>19</v>
      </c>
      <c r="I50" s="69" t="s">
        <v>20</v>
      </c>
      <c r="J50" s="69" t="s">
        <v>21</v>
      </c>
      <c r="K50" s="249">
        <v>4200</v>
      </c>
    </row>
    <row r="51" spans="1:11" ht="24.6" customHeight="1" x14ac:dyDescent="0.35">
      <c r="A51" s="85" t="s">
        <v>174</v>
      </c>
      <c r="B51" s="79" t="s">
        <v>175</v>
      </c>
      <c r="C51" s="85" t="s">
        <v>176</v>
      </c>
      <c r="D51" s="85" t="s">
        <v>15</v>
      </c>
      <c r="E51" s="85" t="s">
        <v>16</v>
      </c>
      <c r="F51" s="85" t="s">
        <v>25</v>
      </c>
      <c r="G51" s="85" t="s">
        <v>101</v>
      </c>
      <c r="H51" s="86" t="s">
        <v>19</v>
      </c>
      <c r="I51" s="69" t="s">
        <v>20</v>
      </c>
      <c r="J51" s="69" t="s">
        <v>21</v>
      </c>
      <c r="K51" s="245">
        <v>2416.67</v>
      </c>
    </row>
    <row r="52" spans="1:11" ht="24.6" customHeight="1" x14ac:dyDescent="0.35">
      <c r="A52" s="85" t="s">
        <v>177</v>
      </c>
      <c r="B52" s="425" t="s">
        <v>178</v>
      </c>
      <c r="C52" s="85" t="s">
        <v>171</v>
      </c>
      <c r="D52" s="85" t="s">
        <v>15</v>
      </c>
      <c r="E52" s="85" t="s">
        <v>16</v>
      </c>
      <c r="F52" s="85" t="s">
        <v>25</v>
      </c>
      <c r="G52" s="85" t="s">
        <v>101</v>
      </c>
      <c r="H52" s="86" t="s">
        <v>19</v>
      </c>
      <c r="I52" s="69" t="s">
        <v>20</v>
      </c>
      <c r="J52" s="69" t="s">
        <v>21</v>
      </c>
      <c r="K52" s="245">
        <v>2416.67</v>
      </c>
    </row>
    <row r="53" spans="1:11" ht="24.6" customHeight="1" x14ac:dyDescent="0.35">
      <c r="A53" s="85" t="s">
        <v>179</v>
      </c>
      <c r="B53" s="425" t="s">
        <v>180</v>
      </c>
      <c r="C53" s="425" t="s">
        <v>181</v>
      </c>
      <c r="D53" s="85" t="s">
        <v>15</v>
      </c>
      <c r="E53" s="85" t="s">
        <v>16</v>
      </c>
      <c r="F53" s="85" t="s">
        <v>25</v>
      </c>
      <c r="G53" s="85" t="s">
        <v>101</v>
      </c>
      <c r="H53" s="86" t="s">
        <v>19</v>
      </c>
      <c r="I53" s="69" t="s">
        <v>20</v>
      </c>
      <c r="J53" s="69" t="s">
        <v>21</v>
      </c>
      <c r="K53" s="245">
        <v>2416.67</v>
      </c>
    </row>
    <row r="54" spans="1:11" s="57" customFormat="1" ht="24.6" customHeight="1" x14ac:dyDescent="0.35">
      <c r="A54" s="85" t="s">
        <v>182</v>
      </c>
      <c r="B54" s="85" t="s">
        <v>183</v>
      </c>
      <c r="C54" s="85" t="s">
        <v>184</v>
      </c>
      <c r="D54" s="85" t="s">
        <v>15</v>
      </c>
      <c r="E54" s="85" t="s">
        <v>88</v>
      </c>
      <c r="F54" s="85" t="s">
        <v>185</v>
      </c>
      <c r="G54" s="85" t="s">
        <v>81</v>
      </c>
      <c r="H54" s="86" t="s">
        <v>19</v>
      </c>
      <c r="I54" s="69" t="s">
        <v>20</v>
      </c>
      <c r="J54" s="69" t="s">
        <v>21</v>
      </c>
      <c r="K54" s="245">
        <v>3557.83</v>
      </c>
    </row>
    <row r="55" spans="1:11" ht="24.6" customHeight="1" x14ac:dyDescent="0.35">
      <c r="A55" s="85" t="s">
        <v>186</v>
      </c>
      <c r="B55" s="85" t="s">
        <v>187</v>
      </c>
      <c r="C55" s="85" t="s">
        <v>188</v>
      </c>
      <c r="D55" s="85" t="s">
        <v>15</v>
      </c>
      <c r="E55" s="85" t="s">
        <v>88</v>
      </c>
      <c r="F55" s="85" t="s">
        <v>185</v>
      </c>
      <c r="G55" s="85" t="s">
        <v>81</v>
      </c>
      <c r="H55" s="86" t="s">
        <v>19</v>
      </c>
      <c r="I55" s="69" t="s">
        <v>20</v>
      </c>
      <c r="J55" s="69" t="s">
        <v>21</v>
      </c>
      <c r="K55" s="245">
        <v>3557.83</v>
      </c>
    </row>
    <row r="56" spans="1:11" ht="24.6" customHeight="1" x14ac:dyDescent="0.35">
      <c r="A56" s="85" t="s">
        <v>189</v>
      </c>
      <c r="B56" s="99" t="s">
        <v>190</v>
      </c>
      <c r="C56" s="67" t="s">
        <v>191</v>
      </c>
      <c r="D56" s="67" t="s">
        <v>15</v>
      </c>
      <c r="E56" s="67" t="s">
        <v>16</v>
      </c>
      <c r="F56" s="67" t="s">
        <v>73</v>
      </c>
      <c r="G56" s="67" t="s">
        <v>85</v>
      </c>
      <c r="H56" s="68" t="s">
        <v>19</v>
      </c>
      <c r="I56" s="69" t="s">
        <v>20</v>
      </c>
      <c r="J56" s="69" t="s">
        <v>21</v>
      </c>
      <c r="K56" s="70">
        <v>3215.67</v>
      </c>
    </row>
    <row r="57" spans="1:11" s="57" customFormat="1" ht="24.6" customHeight="1" x14ac:dyDescent="0.35">
      <c r="A57" s="85" t="s">
        <v>192</v>
      </c>
      <c r="B57" s="85" t="s">
        <v>193</v>
      </c>
      <c r="C57" s="67" t="s">
        <v>191</v>
      </c>
      <c r="D57" s="67" t="s">
        <v>15</v>
      </c>
      <c r="E57" s="67" t="s">
        <v>16</v>
      </c>
      <c r="F57" s="67" t="s">
        <v>73</v>
      </c>
      <c r="G57" s="67" t="s">
        <v>85</v>
      </c>
      <c r="H57" s="68" t="s">
        <v>26</v>
      </c>
      <c r="I57" s="69" t="s">
        <v>20</v>
      </c>
      <c r="J57" s="69" t="s">
        <v>21</v>
      </c>
      <c r="K57" s="70">
        <v>3215.67</v>
      </c>
    </row>
    <row r="58" spans="1:11" ht="24.6" customHeight="1" x14ac:dyDescent="0.35">
      <c r="A58" s="85" t="s">
        <v>194</v>
      </c>
      <c r="B58" s="85" t="s">
        <v>195</v>
      </c>
      <c r="C58" s="85" t="s">
        <v>79</v>
      </c>
      <c r="D58" s="67" t="s">
        <v>15</v>
      </c>
      <c r="E58" s="67" t="s">
        <v>16</v>
      </c>
      <c r="F58" s="67" t="s">
        <v>73</v>
      </c>
      <c r="G58" s="67" t="s">
        <v>85</v>
      </c>
      <c r="H58" s="68" t="s">
        <v>19</v>
      </c>
      <c r="I58" s="69" t="s">
        <v>20</v>
      </c>
      <c r="J58" s="69" t="s">
        <v>21</v>
      </c>
      <c r="K58" s="70">
        <v>3215.67</v>
      </c>
    </row>
    <row r="59" spans="1:11" ht="24.6" customHeight="1" x14ac:dyDescent="0.35">
      <c r="A59" s="85" t="s">
        <v>196</v>
      </c>
      <c r="B59" s="85" t="s">
        <v>197</v>
      </c>
      <c r="C59" s="85" t="s">
        <v>79</v>
      </c>
      <c r="D59" s="67" t="s">
        <v>15</v>
      </c>
      <c r="E59" s="67" t="s">
        <v>16</v>
      </c>
      <c r="F59" s="67" t="s">
        <v>73</v>
      </c>
      <c r="G59" s="67" t="s">
        <v>85</v>
      </c>
      <c r="H59" s="68" t="s">
        <v>19</v>
      </c>
      <c r="I59" s="69" t="s">
        <v>20</v>
      </c>
      <c r="J59" s="69" t="s">
        <v>21</v>
      </c>
      <c r="K59" s="70">
        <v>3215.67</v>
      </c>
    </row>
    <row r="60" spans="1:11" ht="24.6" customHeight="1" x14ac:dyDescent="0.35">
      <c r="A60" s="85" t="s">
        <v>198</v>
      </c>
      <c r="B60" s="87" t="s">
        <v>199</v>
      </c>
      <c r="C60" s="67" t="s">
        <v>191</v>
      </c>
      <c r="D60" s="67" t="s">
        <v>15</v>
      </c>
      <c r="E60" s="67" t="s">
        <v>16</v>
      </c>
      <c r="F60" s="67" t="s">
        <v>25</v>
      </c>
      <c r="G60" s="67" t="s">
        <v>200</v>
      </c>
      <c r="H60" s="68" t="s">
        <v>201</v>
      </c>
      <c r="I60" s="69" t="s">
        <v>20</v>
      </c>
      <c r="J60" s="69" t="s">
        <v>21</v>
      </c>
      <c r="K60" s="70">
        <v>3215.67</v>
      </c>
    </row>
    <row r="61" spans="1:11" ht="24.6" customHeight="1" x14ac:dyDescent="0.35">
      <c r="A61" s="85" t="s">
        <v>202</v>
      </c>
      <c r="B61" s="85" t="s">
        <v>203</v>
      </c>
      <c r="C61" s="85" t="s">
        <v>181</v>
      </c>
      <c r="D61" s="67" t="s">
        <v>15</v>
      </c>
      <c r="E61" s="67" t="s">
        <v>16</v>
      </c>
      <c r="F61" s="67" t="s">
        <v>73</v>
      </c>
      <c r="G61" s="67" t="s">
        <v>85</v>
      </c>
      <c r="H61" s="68" t="s">
        <v>19</v>
      </c>
      <c r="I61" s="69" t="s">
        <v>20</v>
      </c>
      <c r="J61" s="69" t="s">
        <v>21</v>
      </c>
      <c r="K61" s="70">
        <v>3215.67</v>
      </c>
    </row>
    <row r="62" spans="1:11" ht="24.6" customHeight="1" x14ac:dyDescent="0.35">
      <c r="A62" s="85" t="s">
        <v>204</v>
      </c>
      <c r="B62" s="87" t="s">
        <v>205</v>
      </c>
      <c r="C62" s="85" t="s">
        <v>137</v>
      </c>
      <c r="D62" s="67" t="s">
        <v>15</v>
      </c>
      <c r="E62" s="67" t="s">
        <v>16</v>
      </c>
      <c r="F62" s="67" t="s">
        <v>25</v>
      </c>
      <c r="G62" s="67" t="s">
        <v>200</v>
      </c>
      <c r="H62" s="68" t="s">
        <v>19</v>
      </c>
      <c r="I62" s="69" t="s">
        <v>20</v>
      </c>
      <c r="J62" s="69" t="s">
        <v>21</v>
      </c>
      <c r="K62" s="246">
        <v>3299</v>
      </c>
    </row>
    <row r="63" spans="1:11" ht="24.6" customHeight="1" x14ac:dyDescent="0.35">
      <c r="A63" s="85" t="s">
        <v>206</v>
      </c>
      <c r="B63" s="87" t="s">
        <v>207</v>
      </c>
      <c r="C63" s="85" t="s">
        <v>145</v>
      </c>
      <c r="D63" s="67" t="s">
        <v>15</v>
      </c>
      <c r="E63" s="67" t="s">
        <v>16</v>
      </c>
      <c r="F63" s="67" t="s">
        <v>25</v>
      </c>
      <c r="G63" s="67" t="s">
        <v>85</v>
      </c>
      <c r="H63" s="68" t="s">
        <v>26</v>
      </c>
      <c r="I63" s="69" t="s">
        <v>20</v>
      </c>
      <c r="J63" s="69" t="s">
        <v>21</v>
      </c>
      <c r="K63" s="70">
        <v>3245</v>
      </c>
    </row>
    <row r="64" spans="1:11" ht="24.6" customHeight="1" x14ac:dyDescent="0.35">
      <c r="A64" s="85" t="s">
        <v>208</v>
      </c>
      <c r="B64" s="85" t="s">
        <v>209</v>
      </c>
      <c r="C64" s="85" t="s">
        <v>79</v>
      </c>
      <c r="D64" s="67" t="s">
        <v>15</v>
      </c>
      <c r="E64" s="67" t="s">
        <v>41</v>
      </c>
      <c r="F64" s="67" t="s">
        <v>210</v>
      </c>
      <c r="G64" s="67" t="s">
        <v>85</v>
      </c>
      <c r="H64" s="68" t="s">
        <v>19</v>
      </c>
      <c r="I64" s="69" t="s">
        <v>20</v>
      </c>
      <c r="J64" s="69" t="s">
        <v>21</v>
      </c>
      <c r="K64" s="70">
        <v>4999</v>
      </c>
    </row>
    <row r="65" spans="1:22" ht="24.6" customHeight="1" x14ac:dyDescent="0.35">
      <c r="A65" s="85" t="s">
        <v>211</v>
      </c>
      <c r="B65" s="85" t="s">
        <v>212</v>
      </c>
      <c r="C65" s="85" t="s">
        <v>79</v>
      </c>
      <c r="D65" s="67" t="s">
        <v>15</v>
      </c>
      <c r="E65" s="67" t="s">
        <v>213</v>
      </c>
      <c r="F65" s="67" t="s">
        <v>214</v>
      </c>
      <c r="G65" s="67" t="s">
        <v>215</v>
      </c>
      <c r="H65" s="68" t="s">
        <v>19</v>
      </c>
      <c r="I65" s="69" t="s">
        <v>20</v>
      </c>
      <c r="J65" s="69" t="s">
        <v>21</v>
      </c>
      <c r="K65" s="246">
        <v>6840.41</v>
      </c>
    </row>
    <row r="66" spans="1:22" ht="24.6" customHeight="1" x14ac:dyDescent="0.35">
      <c r="A66" s="85" t="s">
        <v>216</v>
      </c>
      <c r="B66" s="85" t="s">
        <v>217</v>
      </c>
      <c r="C66" s="85" t="s">
        <v>137</v>
      </c>
      <c r="D66" s="67" t="s">
        <v>15</v>
      </c>
      <c r="E66" s="67" t="s">
        <v>16</v>
      </c>
      <c r="F66" s="67" t="s">
        <v>25</v>
      </c>
      <c r="G66" s="67" t="s">
        <v>85</v>
      </c>
      <c r="H66" s="68" t="s">
        <v>19</v>
      </c>
      <c r="I66" s="69" t="s">
        <v>20</v>
      </c>
      <c r="J66" s="69" t="s">
        <v>21</v>
      </c>
      <c r="K66" s="70">
        <v>3154</v>
      </c>
    </row>
    <row r="67" spans="1:22" ht="24.6" customHeight="1" x14ac:dyDescent="0.35">
      <c r="A67" s="85" t="s">
        <v>218</v>
      </c>
      <c r="B67" s="85" t="s">
        <v>219</v>
      </c>
      <c r="C67" s="85" t="s">
        <v>115</v>
      </c>
      <c r="D67" s="67" t="s">
        <v>15</v>
      </c>
      <c r="E67" s="67" t="s">
        <v>213</v>
      </c>
      <c r="F67" s="67" t="s">
        <v>220</v>
      </c>
      <c r="G67" s="67" t="s">
        <v>116</v>
      </c>
      <c r="H67" s="68" t="s">
        <v>19</v>
      </c>
      <c r="I67" s="69" t="s">
        <v>20</v>
      </c>
      <c r="J67" s="69" t="s">
        <v>21</v>
      </c>
      <c r="K67" s="246">
        <v>4000</v>
      </c>
    </row>
    <row r="68" spans="1:22" ht="24.6" customHeight="1" x14ac:dyDescent="0.35">
      <c r="A68" s="85" t="s">
        <v>221</v>
      </c>
      <c r="B68" s="85" t="s">
        <v>222</v>
      </c>
      <c r="C68" s="85" t="s">
        <v>223</v>
      </c>
      <c r="D68" s="99" t="s">
        <v>15</v>
      </c>
      <c r="E68" s="99" t="s">
        <v>16</v>
      </c>
      <c r="F68" s="236" t="s">
        <v>80</v>
      </c>
      <c r="G68" s="237" t="s">
        <v>81</v>
      </c>
      <c r="H68" s="68" t="s">
        <v>19</v>
      </c>
      <c r="I68" s="69" t="s">
        <v>20</v>
      </c>
      <c r="J68" s="69" t="s">
        <v>21</v>
      </c>
      <c r="K68" s="248">
        <v>4700</v>
      </c>
    </row>
    <row r="69" spans="1:22" ht="24.6" customHeight="1" x14ac:dyDescent="0.35">
      <c r="A69" s="85" t="s">
        <v>224</v>
      </c>
      <c r="B69" s="85" t="s">
        <v>225</v>
      </c>
      <c r="C69" s="85" t="s">
        <v>97</v>
      </c>
      <c r="D69" s="99" t="s">
        <v>15</v>
      </c>
      <c r="E69" s="67" t="s">
        <v>226</v>
      </c>
      <c r="F69" s="235" t="s">
        <v>227</v>
      </c>
      <c r="G69" s="67" t="s">
        <v>228</v>
      </c>
      <c r="H69" s="68" t="s">
        <v>19</v>
      </c>
      <c r="I69" s="69" t="s">
        <v>20</v>
      </c>
      <c r="J69" s="69" t="s">
        <v>21</v>
      </c>
      <c r="K69" s="246">
        <v>3339</v>
      </c>
    </row>
    <row r="70" spans="1:22" ht="24.6" customHeight="1" x14ac:dyDescent="0.35">
      <c r="A70" s="85" t="s">
        <v>229</v>
      </c>
      <c r="B70" s="377" t="s">
        <v>230</v>
      </c>
      <c r="C70" s="85" t="s">
        <v>30</v>
      </c>
      <c r="D70" s="2" t="s">
        <v>15</v>
      </c>
      <c r="E70" s="2" t="s">
        <v>16</v>
      </c>
      <c r="F70" s="236" t="s">
        <v>25</v>
      </c>
      <c r="G70" s="67" t="s">
        <v>228</v>
      </c>
      <c r="H70" s="68" t="s">
        <v>19</v>
      </c>
      <c r="I70" s="69" t="s">
        <v>20</v>
      </c>
      <c r="J70" s="69" t="s">
        <v>231</v>
      </c>
      <c r="K70" s="246">
        <v>3299</v>
      </c>
    </row>
    <row r="71" spans="1:22" ht="24.6" customHeight="1" x14ac:dyDescent="0.35">
      <c r="A71" s="85" t="s">
        <v>232</v>
      </c>
      <c r="B71" s="2" t="s">
        <v>233</v>
      </c>
      <c r="C71" s="85" t="s">
        <v>30</v>
      </c>
      <c r="D71" s="2" t="s">
        <v>15</v>
      </c>
      <c r="E71" s="2" t="s">
        <v>16</v>
      </c>
      <c r="F71" s="236" t="s">
        <v>25</v>
      </c>
      <c r="G71" s="67" t="s">
        <v>228</v>
      </c>
      <c r="H71" s="68" t="s">
        <v>19</v>
      </c>
      <c r="I71" s="69" t="s">
        <v>20</v>
      </c>
      <c r="J71" s="69" t="s">
        <v>234</v>
      </c>
      <c r="K71" s="246">
        <v>3299</v>
      </c>
    </row>
    <row r="72" spans="1:22" ht="24.6" customHeight="1" x14ac:dyDescent="0.35">
      <c r="A72" s="85" t="s">
        <v>235</v>
      </c>
      <c r="B72" s="87" t="s">
        <v>236</v>
      </c>
      <c r="C72" s="85" t="s">
        <v>30</v>
      </c>
      <c r="D72" s="67" t="s">
        <v>15</v>
      </c>
      <c r="E72" s="67" t="s">
        <v>16</v>
      </c>
      <c r="F72" s="236" t="s">
        <v>25</v>
      </c>
      <c r="G72" s="67" t="s">
        <v>228</v>
      </c>
      <c r="H72" s="68" t="s">
        <v>19</v>
      </c>
      <c r="I72" s="69" t="s">
        <v>20</v>
      </c>
      <c r="J72" s="69" t="s">
        <v>21</v>
      </c>
      <c r="K72" s="245">
        <v>3299</v>
      </c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</row>
    <row r="73" spans="1:22" ht="24.6" customHeight="1" x14ac:dyDescent="0.35">
      <c r="A73" s="85" t="s">
        <v>237</v>
      </c>
      <c r="B73" s="2" t="s">
        <v>238</v>
      </c>
      <c r="C73" s="85" t="s">
        <v>184</v>
      </c>
      <c r="D73" s="67" t="s">
        <v>15</v>
      </c>
      <c r="E73" s="67" t="s">
        <v>16</v>
      </c>
      <c r="F73" s="236" t="s">
        <v>25</v>
      </c>
      <c r="G73" s="67" t="s">
        <v>228</v>
      </c>
      <c r="H73" s="68" t="s">
        <v>19</v>
      </c>
      <c r="I73" s="69" t="s">
        <v>20</v>
      </c>
      <c r="J73" s="69" t="s">
        <v>27</v>
      </c>
      <c r="K73" s="246">
        <v>3299</v>
      </c>
    </row>
    <row r="74" spans="1:22" ht="24.6" customHeight="1" x14ac:dyDescent="0.35">
      <c r="A74" s="85" t="s">
        <v>239</v>
      </c>
      <c r="B74" s="2" t="s">
        <v>240</v>
      </c>
      <c r="C74" s="85" t="s">
        <v>241</v>
      </c>
      <c r="D74" s="67" t="s">
        <v>15</v>
      </c>
      <c r="E74" s="67" t="s">
        <v>16</v>
      </c>
      <c r="F74" s="236" t="s">
        <v>25</v>
      </c>
      <c r="G74" s="67" t="s">
        <v>228</v>
      </c>
      <c r="H74" s="68" t="s">
        <v>19</v>
      </c>
      <c r="I74" s="69" t="s">
        <v>20</v>
      </c>
      <c r="J74" s="69" t="s">
        <v>27</v>
      </c>
      <c r="K74" s="246">
        <v>3299</v>
      </c>
    </row>
    <row r="75" spans="1:22" ht="24.6" customHeight="1" x14ac:dyDescent="0.35">
      <c r="A75" s="85" t="s">
        <v>242</v>
      </c>
      <c r="B75" s="87" t="s">
        <v>175</v>
      </c>
      <c r="C75" s="235" t="s">
        <v>243</v>
      </c>
      <c r="D75" s="67" t="s">
        <v>15</v>
      </c>
      <c r="E75" s="67" t="s">
        <v>16</v>
      </c>
      <c r="F75" s="236" t="s">
        <v>25</v>
      </c>
      <c r="G75" s="67" t="s">
        <v>228</v>
      </c>
      <c r="H75" s="68" t="s">
        <v>19</v>
      </c>
      <c r="I75" s="69" t="s">
        <v>20</v>
      </c>
      <c r="J75" s="69" t="s">
        <v>21</v>
      </c>
      <c r="K75" s="245">
        <v>3299</v>
      </c>
    </row>
    <row r="76" spans="1:22" ht="24.6" customHeight="1" x14ac:dyDescent="0.35">
      <c r="A76" s="235" t="s">
        <v>244</v>
      </c>
      <c r="B76" s="2" t="s">
        <v>245</v>
      </c>
      <c r="C76" s="85" t="s">
        <v>79</v>
      </c>
      <c r="D76" s="67" t="s">
        <v>15</v>
      </c>
      <c r="E76" s="67" t="s">
        <v>16</v>
      </c>
      <c r="F76" s="236" t="s">
        <v>25</v>
      </c>
      <c r="G76" s="67" t="s">
        <v>228</v>
      </c>
      <c r="H76" s="68" t="s">
        <v>19</v>
      </c>
      <c r="I76" s="239" t="s">
        <v>20</v>
      </c>
      <c r="J76" s="239" t="s">
        <v>21</v>
      </c>
      <c r="K76" s="246">
        <v>3299</v>
      </c>
    </row>
    <row r="77" spans="1:22" ht="24.6" customHeight="1" x14ac:dyDescent="0.35">
      <c r="A77" s="235" t="s">
        <v>246</v>
      </c>
      <c r="B77" s="236" t="s">
        <v>247</v>
      </c>
      <c r="C77" s="85" t="s">
        <v>137</v>
      </c>
      <c r="D77" s="67" t="s">
        <v>15</v>
      </c>
      <c r="E77" s="67" t="s">
        <v>226</v>
      </c>
      <c r="F77" s="235" t="s">
        <v>227</v>
      </c>
      <c r="G77" s="67" t="s">
        <v>228</v>
      </c>
      <c r="H77" s="68" t="s">
        <v>19</v>
      </c>
      <c r="I77" s="239" t="s">
        <v>20</v>
      </c>
      <c r="J77" s="239" t="s">
        <v>27</v>
      </c>
      <c r="K77" s="246">
        <v>3339</v>
      </c>
    </row>
    <row r="78" spans="1:22" ht="24.6" customHeight="1" x14ac:dyDescent="0.35">
      <c r="A78" s="235" t="s">
        <v>248</v>
      </c>
      <c r="B78" s="87" t="s">
        <v>54</v>
      </c>
      <c r="C78" s="85" t="s">
        <v>55</v>
      </c>
      <c r="D78" s="67" t="s">
        <v>15</v>
      </c>
      <c r="E78" s="67" t="s">
        <v>16</v>
      </c>
      <c r="F78" s="236" t="s">
        <v>25</v>
      </c>
      <c r="G78" s="67" t="s">
        <v>116</v>
      </c>
      <c r="H78" s="68" t="s">
        <v>26</v>
      </c>
      <c r="I78" s="239" t="s">
        <v>20</v>
      </c>
      <c r="J78" s="239" t="s">
        <v>164</v>
      </c>
      <c r="K78" s="246">
        <v>3299</v>
      </c>
    </row>
    <row r="79" spans="1:22" ht="24.6" customHeight="1" x14ac:dyDescent="0.35">
      <c r="A79" s="235" t="s">
        <v>249</v>
      </c>
      <c r="B79" s="426" t="s">
        <v>250</v>
      </c>
      <c r="C79" s="85" t="s">
        <v>79</v>
      </c>
      <c r="D79" s="67" t="s">
        <v>15</v>
      </c>
      <c r="E79" s="67" t="s">
        <v>16</v>
      </c>
      <c r="F79" s="236" t="s">
        <v>25</v>
      </c>
      <c r="G79" s="67" t="s">
        <v>251</v>
      </c>
      <c r="H79" s="68" t="s">
        <v>19</v>
      </c>
      <c r="I79" s="239" t="s">
        <v>20</v>
      </c>
      <c r="J79" s="239" t="s">
        <v>252</v>
      </c>
      <c r="K79" s="246">
        <v>3299</v>
      </c>
    </row>
    <row r="80" spans="1:22" ht="24.6" customHeight="1" x14ac:dyDescent="0.35">
      <c r="A80" s="235" t="s">
        <v>253</v>
      </c>
      <c r="B80" s="2" t="s">
        <v>254</v>
      </c>
      <c r="C80" s="85" t="s">
        <v>255</v>
      </c>
      <c r="D80" s="67" t="s">
        <v>15</v>
      </c>
      <c r="E80" s="67" t="s">
        <v>16</v>
      </c>
      <c r="F80" s="236" t="s">
        <v>25</v>
      </c>
      <c r="G80" s="67" t="s">
        <v>251</v>
      </c>
      <c r="H80" s="68" t="s">
        <v>19</v>
      </c>
      <c r="I80" s="239" t="s">
        <v>20</v>
      </c>
      <c r="J80" s="239" t="s">
        <v>21</v>
      </c>
      <c r="K80" s="246">
        <v>3299</v>
      </c>
    </row>
    <row r="81" spans="1:11" ht="24.6" customHeight="1" x14ac:dyDescent="0.35">
      <c r="A81" s="235" t="s">
        <v>256</v>
      </c>
      <c r="B81" s="2" t="s">
        <v>257</v>
      </c>
      <c r="C81" s="85" t="s">
        <v>258</v>
      </c>
      <c r="D81" s="67" t="s">
        <v>15</v>
      </c>
      <c r="E81" s="67" t="s">
        <v>16</v>
      </c>
      <c r="F81" s="236" t="s">
        <v>25</v>
      </c>
      <c r="G81" s="67" t="s">
        <v>85</v>
      </c>
      <c r="H81" s="68" t="s">
        <v>19</v>
      </c>
      <c r="I81" s="239" t="s">
        <v>20</v>
      </c>
      <c r="J81" s="69" t="s">
        <v>21</v>
      </c>
      <c r="K81" s="246">
        <v>3299</v>
      </c>
    </row>
    <row r="82" spans="1:11" ht="24.6" customHeight="1" x14ac:dyDescent="0.35">
      <c r="A82" s="235" t="s">
        <v>259</v>
      </c>
      <c r="B82" s="2" t="s">
        <v>260</v>
      </c>
      <c r="C82" s="85" t="s">
        <v>145</v>
      </c>
      <c r="D82" s="67" t="s">
        <v>15</v>
      </c>
      <c r="E82" s="67" t="s">
        <v>16</v>
      </c>
      <c r="F82" s="236" t="s">
        <v>25</v>
      </c>
      <c r="G82" s="67" t="s">
        <v>85</v>
      </c>
      <c r="H82" s="68" t="s">
        <v>19</v>
      </c>
      <c r="I82" s="239" t="s">
        <v>20</v>
      </c>
      <c r="J82" s="69" t="s">
        <v>21</v>
      </c>
      <c r="K82" s="246">
        <v>3299</v>
      </c>
    </row>
    <row r="83" spans="1:11" ht="24.6" customHeight="1" x14ac:dyDescent="0.35">
      <c r="A83" s="235" t="s">
        <v>261</v>
      </c>
      <c r="B83" s="2" t="s">
        <v>262</v>
      </c>
      <c r="C83" s="235" t="s">
        <v>263</v>
      </c>
      <c r="D83" s="67" t="s">
        <v>15</v>
      </c>
      <c r="E83" s="67" t="s">
        <v>16</v>
      </c>
      <c r="F83" s="236" t="s">
        <v>25</v>
      </c>
      <c r="G83" s="67" t="s">
        <v>251</v>
      </c>
      <c r="H83" s="68" t="s">
        <v>19</v>
      </c>
      <c r="I83" s="239" t="s">
        <v>20</v>
      </c>
      <c r="J83" s="69" t="s">
        <v>21</v>
      </c>
      <c r="K83" s="246">
        <v>3299</v>
      </c>
    </row>
    <row r="84" spans="1:11" s="57" customFormat="1" ht="24.6" customHeight="1" x14ac:dyDescent="0.35">
      <c r="A84" s="235" t="s">
        <v>264</v>
      </c>
      <c r="B84" s="2" t="s">
        <v>265</v>
      </c>
      <c r="C84" s="235" t="s">
        <v>266</v>
      </c>
      <c r="D84" s="67" t="s">
        <v>15</v>
      </c>
      <c r="E84" s="67" t="s">
        <v>16</v>
      </c>
      <c r="F84" s="236" t="s">
        <v>80</v>
      </c>
      <c r="G84" s="67" t="s">
        <v>85</v>
      </c>
      <c r="H84" s="68" t="s">
        <v>19</v>
      </c>
      <c r="I84" s="239" t="s">
        <v>20</v>
      </c>
      <c r="J84" s="69" t="s">
        <v>21</v>
      </c>
      <c r="K84" s="246">
        <v>5200</v>
      </c>
    </row>
    <row r="85" spans="1:11" ht="24.6" customHeight="1" x14ac:dyDescent="0.35">
      <c r="A85" s="235" t="s">
        <v>267</v>
      </c>
      <c r="B85" s="2" t="s">
        <v>268</v>
      </c>
      <c r="C85" s="85" t="s">
        <v>79</v>
      </c>
      <c r="D85" s="67" t="s">
        <v>15</v>
      </c>
      <c r="E85" s="67" t="s">
        <v>16</v>
      </c>
      <c r="F85" s="236" t="s">
        <v>269</v>
      </c>
      <c r="G85" s="67" t="s">
        <v>85</v>
      </c>
      <c r="H85" s="68" t="s">
        <v>26</v>
      </c>
      <c r="I85" s="239" t="s">
        <v>20</v>
      </c>
      <c r="J85" s="69" t="s">
        <v>21</v>
      </c>
      <c r="K85" s="246">
        <v>5200</v>
      </c>
    </row>
    <row r="86" spans="1:11" ht="24.6" customHeight="1" x14ac:dyDescent="0.35">
      <c r="A86" s="235" t="s">
        <v>270</v>
      </c>
      <c r="B86" s="87" t="s">
        <v>271</v>
      </c>
      <c r="C86" s="85" t="s">
        <v>79</v>
      </c>
      <c r="D86" s="67" t="s">
        <v>15</v>
      </c>
      <c r="E86" s="67" t="s">
        <v>16</v>
      </c>
      <c r="F86" s="236" t="s">
        <v>25</v>
      </c>
      <c r="G86" s="67" t="s">
        <v>251</v>
      </c>
      <c r="H86" s="68" t="s">
        <v>19</v>
      </c>
      <c r="I86" s="239" t="s">
        <v>20</v>
      </c>
      <c r="J86" s="69" t="s">
        <v>27</v>
      </c>
      <c r="K86" s="246">
        <v>5200</v>
      </c>
    </row>
    <row r="87" spans="1:11" ht="24.6" customHeight="1" x14ac:dyDescent="0.35">
      <c r="A87" s="235" t="s">
        <v>272</v>
      </c>
      <c r="B87" s="87" t="s">
        <v>273</v>
      </c>
      <c r="C87" s="235" t="s">
        <v>274</v>
      </c>
      <c r="D87" s="67" t="s">
        <v>15</v>
      </c>
      <c r="E87" s="67" t="s">
        <v>16</v>
      </c>
      <c r="F87" s="235" t="s">
        <v>17</v>
      </c>
      <c r="G87" s="237" t="s">
        <v>18</v>
      </c>
      <c r="H87" s="68" t="s">
        <v>19</v>
      </c>
      <c r="I87" s="239" t="s">
        <v>20</v>
      </c>
      <c r="J87" s="69" t="s">
        <v>21</v>
      </c>
      <c r="K87" s="340">
        <v>3349</v>
      </c>
    </row>
    <row r="88" spans="1:11" ht="24.6" customHeight="1" x14ac:dyDescent="0.35">
      <c r="A88" s="235" t="s">
        <v>275</v>
      </c>
      <c r="B88" s="87" t="s">
        <v>276</v>
      </c>
      <c r="C88" s="85" t="s">
        <v>115</v>
      </c>
      <c r="D88" s="67" t="s">
        <v>15</v>
      </c>
      <c r="E88" s="67" t="s">
        <v>16</v>
      </c>
      <c r="F88" s="236" t="s">
        <v>80</v>
      </c>
      <c r="G88" s="67" t="s">
        <v>85</v>
      </c>
      <c r="H88" s="68" t="s">
        <v>19</v>
      </c>
      <c r="I88" s="239" t="s">
        <v>20</v>
      </c>
      <c r="J88" s="69" t="s">
        <v>21</v>
      </c>
      <c r="K88" s="246"/>
    </row>
    <row r="89" spans="1:11" ht="24.6" customHeight="1" x14ac:dyDescent="0.35">
      <c r="A89" s="235" t="s">
        <v>277</v>
      </c>
      <c r="B89" s="2" t="s">
        <v>278</v>
      </c>
      <c r="C89" s="235" t="s">
        <v>266</v>
      </c>
      <c r="D89" s="67" t="s">
        <v>15</v>
      </c>
      <c r="E89" s="67" t="s">
        <v>16</v>
      </c>
      <c r="F89" s="236" t="s">
        <v>80</v>
      </c>
      <c r="G89" s="67" t="s">
        <v>85</v>
      </c>
      <c r="H89" s="68" t="s">
        <v>19</v>
      </c>
      <c r="I89" s="239" t="s">
        <v>20</v>
      </c>
      <c r="J89" s="69" t="s">
        <v>21</v>
      </c>
      <c r="K89" s="246"/>
    </row>
    <row r="90" spans="1:11" ht="24.6" customHeight="1" x14ac:dyDescent="0.35">
      <c r="A90" s="235" t="s">
        <v>279</v>
      </c>
      <c r="B90" s="236" t="s">
        <v>280</v>
      </c>
      <c r="C90" s="85" t="s">
        <v>145</v>
      </c>
      <c r="D90" s="67" t="s">
        <v>15</v>
      </c>
      <c r="E90" s="67" t="s">
        <v>16</v>
      </c>
      <c r="F90" s="235" t="s">
        <v>281</v>
      </c>
      <c r="G90" s="67" t="s">
        <v>85</v>
      </c>
      <c r="H90" s="68" t="s">
        <v>19</v>
      </c>
      <c r="I90" s="239" t="s">
        <v>20</v>
      </c>
      <c r="J90" s="69" t="s">
        <v>21</v>
      </c>
      <c r="K90" s="246"/>
    </row>
    <row r="91" spans="1:11" ht="24.6" customHeight="1" x14ac:dyDescent="0.35">
      <c r="A91" s="235" t="s">
        <v>282</v>
      </c>
      <c r="B91" s="2" t="s">
        <v>283</v>
      </c>
      <c r="C91" s="235" t="s">
        <v>142</v>
      </c>
      <c r="D91" s="67" t="s">
        <v>15</v>
      </c>
      <c r="E91" s="67" t="s">
        <v>16</v>
      </c>
      <c r="F91" s="235" t="s">
        <v>281</v>
      </c>
      <c r="G91" s="67" t="s">
        <v>85</v>
      </c>
      <c r="H91" s="68" t="s">
        <v>19</v>
      </c>
      <c r="I91" s="239" t="s">
        <v>20</v>
      </c>
      <c r="J91" s="69" t="s">
        <v>21</v>
      </c>
      <c r="K91" s="246"/>
    </row>
    <row r="92" spans="1:11" ht="24.6" customHeight="1" x14ac:dyDescent="0.35">
      <c r="A92" s="235" t="s">
        <v>284</v>
      </c>
      <c r="B92" s="2" t="s">
        <v>285</v>
      </c>
      <c r="C92" s="235" t="s">
        <v>266</v>
      </c>
      <c r="D92" s="67" t="s">
        <v>15</v>
      </c>
      <c r="E92" s="67" t="s">
        <v>16</v>
      </c>
      <c r="F92" s="235" t="s">
        <v>281</v>
      </c>
      <c r="G92" s="67" t="s">
        <v>85</v>
      </c>
      <c r="H92" s="68" t="s">
        <v>19</v>
      </c>
      <c r="I92" s="239" t="s">
        <v>20</v>
      </c>
      <c r="J92" s="69" t="s">
        <v>21</v>
      </c>
      <c r="K92" s="246"/>
    </row>
    <row r="93" spans="1:11" ht="24.6" customHeight="1" x14ac:dyDescent="0.35">
      <c r="A93" s="235" t="s">
        <v>286</v>
      </c>
      <c r="B93" s="2" t="s">
        <v>287</v>
      </c>
      <c r="C93" s="235" t="s">
        <v>97</v>
      </c>
      <c r="D93" s="67" t="s">
        <v>15</v>
      </c>
      <c r="E93" s="67" t="s">
        <v>16</v>
      </c>
      <c r="F93" s="235" t="s">
        <v>281</v>
      </c>
      <c r="G93" s="67" t="s">
        <v>85</v>
      </c>
      <c r="H93" s="68" t="s">
        <v>19</v>
      </c>
      <c r="I93" s="239" t="s">
        <v>20</v>
      </c>
      <c r="J93" s="69" t="s">
        <v>21</v>
      </c>
      <c r="K93" s="246"/>
    </row>
    <row r="94" spans="1:11" ht="24.6" customHeight="1" x14ac:dyDescent="0.35">
      <c r="A94" s="235" t="s">
        <v>288</v>
      </c>
      <c r="B94" s="2" t="s">
        <v>289</v>
      </c>
      <c r="C94" s="235" t="s">
        <v>290</v>
      </c>
      <c r="D94" s="67" t="s">
        <v>15</v>
      </c>
      <c r="E94" s="67" t="s">
        <v>16</v>
      </c>
      <c r="F94" s="235" t="s">
        <v>281</v>
      </c>
      <c r="G94" s="67" t="s">
        <v>85</v>
      </c>
      <c r="H94" s="68" t="s">
        <v>26</v>
      </c>
      <c r="I94" s="239" t="s">
        <v>20</v>
      </c>
      <c r="J94" s="69" t="s">
        <v>21</v>
      </c>
      <c r="K94" s="246"/>
    </row>
    <row r="95" spans="1:11" ht="24.6" customHeight="1" x14ac:dyDescent="0.35">
      <c r="A95" s="235" t="s">
        <v>291</v>
      </c>
      <c r="B95" s="2" t="s">
        <v>292</v>
      </c>
      <c r="C95" s="235" t="s">
        <v>293</v>
      </c>
      <c r="D95" s="67" t="s">
        <v>15</v>
      </c>
      <c r="E95" s="67" t="s">
        <v>16</v>
      </c>
      <c r="F95" s="235" t="s">
        <v>281</v>
      </c>
      <c r="G95" s="67" t="s">
        <v>85</v>
      </c>
      <c r="H95" s="68" t="s">
        <v>26</v>
      </c>
      <c r="I95" s="239" t="s">
        <v>20</v>
      </c>
      <c r="J95" s="69" t="s">
        <v>21</v>
      </c>
      <c r="K95" s="246"/>
    </row>
    <row r="96" spans="1:11" ht="24.6" customHeight="1" x14ac:dyDescent="0.35">
      <c r="A96" s="235" t="s">
        <v>294</v>
      </c>
      <c r="B96" s="2" t="s">
        <v>295</v>
      </c>
      <c r="C96" s="85" t="s">
        <v>296</v>
      </c>
      <c r="D96" s="67" t="s">
        <v>15</v>
      </c>
      <c r="E96" s="67" t="s">
        <v>16</v>
      </c>
      <c r="F96" s="235" t="s">
        <v>281</v>
      </c>
      <c r="G96" s="67" t="s">
        <v>85</v>
      </c>
      <c r="H96" s="68" t="s">
        <v>19</v>
      </c>
      <c r="I96" s="239" t="s">
        <v>20</v>
      </c>
      <c r="J96" s="69" t="s">
        <v>21</v>
      </c>
    </row>
    <row r="97" spans="1:10" ht="24.6" customHeight="1" x14ac:dyDescent="0.35">
      <c r="A97" s="235" t="s">
        <v>297</v>
      </c>
      <c r="B97" s="2" t="s">
        <v>298</v>
      </c>
      <c r="C97" s="85" t="s">
        <v>299</v>
      </c>
      <c r="D97" s="67" t="s">
        <v>15</v>
      </c>
      <c r="E97" s="67" t="s">
        <v>16</v>
      </c>
      <c r="F97" s="235" t="s">
        <v>281</v>
      </c>
      <c r="G97" s="67" t="s">
        <v>85</v>
      </c>
      <c r="H97" s="68" t="s">
        <v>19</v>
      </c>
      <c r="I97" s="239" t="s">
        <v>20</v>
      </c>
      <c r="J97" s="69" t="s">
        <v>27</v>
      </c>
    </row>
    <row r="98" spans="1:10" ht="24.6" customHeight="1" x14ac:dyDescent="0.35">
      <c r="A98" s="235" t="s">
        <v>300</v>
      </c>
      <c r="B98" s="2" t="s">
        <v>301</v>
      </c>
      <c r="C98" s="85" t="s">
        <v>55</v>
      </c>
      <c r="D98" s="67" t="s">
        <v>15</v>
      </c>
      <c r="E98" s="67" t="s">
        <v>88</v>
      </c>
      <c r="F98" s="430" t="s">
        <v>89</v>
      </c>
      <c r="G98" s="67" t="s">
        <v>85</v>
      </c>
      <c r="H98" s="68" t="s">
        <v>142</v>
      </c>
      <c r="I98" s="69" t="s">
        <v>302</v>
      </c>
      <c r="J98" s="69"/>
    </row>
    <row r="99" spans="1:10" ht="24.6" customHeight="1" x14ac:dyDescent="0.35">
      <c r="A99" s="235" t="s">
        <v>303</v>
      </c>
      <c r="B99" s="2" t="s">
        <v>39</v>
      </c>
      <c r="C99" s="85" t="s">
        <v>171</v>
      </c>
      <c r="D99" s="67" t="s">
        <v>15</v>
      </c>
      <c r="E99" s="67" t="s">
        <v>16</v>
      </c>
      <c r="F99" s="235" t="s">
        <v>281</v>
      </c>
      <c r="G99" s="67" t="s">
        <v>85</v>
      </c>
      <c r="H99" s="68" t="s">
        <v>19</v>
      </c>
      <c r="I99" s="239" t="s">
        <v>20</v>
      </c>
      <c r="J99" s="69" t="s">
        <v>27</v>
      </c>
    </row>
    <row r="100" spans="1:10" ht="24.6" customHeight="1" x14ac:dyDescent="0.35">
      <c r="A100" s="235" t="s">
        <v>304</v>
      </c>
      <c r="B100" s="2" t="s">
        <v>305</v>
      </c>
      <c r="C100" s="85" t="s">
        <v>30</v>
      </c>
      <c r="D100" s="67" t="s">
        <v>15</v>
      </c>
      <c r="E100" s="67" t="s">
        <v>16</v>
      </c>
      <c r="F100" s="236" t="s">
        <v>80</v>
      </c>
      <c r="G100" s="67" t="s">
        <v>228</v>
      </c>
      <c r="H100" s="68" t="s">
        <v>19</v>
      </c>
      <c r="I100" s="239" t="s">
        <v>20</v>
      </c>
      <c r="J100" s="69"/>
    </row>
    <row r="101" spans="1:10" ht="24.6" customHeight="1" x14ac:dyDescent="0.35">
      <c r="A101" s="235" t="s">
        <v>306</v>
      </c>
      <c r="B101" s="2" t="s">
        <v>307</v>
      </c>
      <c r="C101" s="85" t="s">
        <v>296</v>
      </c>
      <c r="D101" s="67" t="s">
        <v>15</v>
      </c>
      <c r="E101" s="67" t="s">
        <v>16</v>
      </c>
      <c r="F101" s="236" t="s">
        <v>269</v>
      </c>
      <c r="G101" s="67" t="s">
        <v>228</v>
      </c>
      <c r="H101" s="68" t="s">
        <v>201</v>
      </c>
      <c r="I101" s="239" t="s">
        <v>20</v>
      </c>
      <c r="J101" s="69"/>
    </row>
    <row r="102" spans="1:10" ht="24.6" customHeight="1" x14ac:dyDescent="0.35">
      <c r="A102" s="235" t="s">
        <v>308</v>
      </c>
      <c r="B102" s="2" t="s">
        <v>309</v>
      </c>
      <c r="C102" s="85" t="s">
        <v>296</v>
      </c>
      <c r="D102" s="67" t="s">
        <v>15</v>
      </c>
      <c r="E102" s="67" t="s">
        <v>16</v>
      </c>
      <c r="F102" s="235" t="s">
        <v>281</v>
      </c>
      <c r="G102" s="67" t="s">
        <v>85</v>
      </c>
      <c r="H102" s="68" t="s">
        <v>26</v>
      </c>
      <c r="I102" s="239" t="s">
        <v>20</v>
      </c>
      <c r="J102" s="69"/>
    </row>
    <row r="103" spans="1:10" ht="24.6" customHeight="1" x14ac:dyDescent="0.35">
      <c r="A103" s="235" t="s">
        <v>310</v>
      </c>
      <c r="B103" s="2" t="s">
        <v>311</v>
      </c>
      <c r="C103" s="235" t="s">
        <v>290</v>
      </c>
      <c r="D103" s="67" t="s">
        <v>15</v>
      </c>
      <c r="E103" s="67" t="s">
        <v>16</v>
      </c>
      <c r="F103" s="235" t="s">
        <v>281</v>
      </c>
      <c r="G103" s="67" t="s">
        <v>85</v>
      </c>
      <c r="H103" s="68" t="s">
        <v>26</v>
      </c>
      <c r="I103" s="239" t="s">
        <v>20</v>
      </c>
      <c r="J103" s="69"/>
    </row>
    <row r="104" spans="1:10" ht="24.6" customHeight="1" x14ac:dyDescent="0.35">
      <c r="A104" s="235" t="s">
        <v>312</v>
      </c>
      <c r="B104" s="2" t="s">
        <v>313</v>
      </c>
      <c r="C104" s="235" t="s">
        <v>290</v>
      </c>
      <c r="D104" s="67" t="s">
        <v>15</v>
      </c>
      <c r="E104" s="67" t="s">
        <v>16</v>
      </c>
      <c r="F104" s="235" t="s">
        <v>281</v>
      </c>
      <c r="G104" s="67" t="s">
        <v>85</v>
      </c>
      <c r="H104" s="68" t="s">
        <v>26</v>
      </c>
      <c r="I104" s="239" t="s">
        <v>20</v>
      </c>
      <c r="J104" s="69"/>
    </row>
    <row r="105" spans="1:10" ht="24.6" customHeight="1" x14ac:dyDescent="0.35">
      <c r="A105" s="235" t="s">
        <v>314</v>
      </c>
      <c r="B105" s="2" t="s">
        <v>315</v>
      </c>
      <c r="C105" s="235" t="s">
        <v>266</v>
      </c>
      <c r="D105" s="67" t="s">
        <v>15</v>
      </c>
      <c r="E105" s="67" t="s">
        <v>16</v>
      </c>
      <c r="F105" s="236" t="s">
        <v>80</v>
      </c>
      <c r="G105" s="67" t="s">
        <v>85</v>
      </c>
      <c r="H105" s="68" t="s">
        <v>19</v>
      </c>
      <c r="I105" s="239" t="s">
        <v>20</v>
      </c>
      <c r="J105" s="69"/>
    </row>
    <row r="106" spans="1:10" ht="24.6" customHeight="1" x14ac:dyDescent="0.35">
      <c r="A106" s="235" t="s">
        <v>316</v>
      </c>
      <c r="B106" s="2" t="s">
        <v>317</v>
      </c>
      <c r="C106" s="235" t="s">
        <v>318</v>
      </c>
      <c r="D106" s="67" t="s">
        <v>15</v>
      </c>
      <c r="E106" s="67" t="s">
        <v>16</v>
      </c>
      <c r="F106" s="235" t="s">
        <v>281</v>
      </c>
      <c r="G106" s="67" t="s">
        <v>85</v>
      </c>
      <c r="H106" s="68" t="s">
        <v>19</v>
      </c>
      <c r="I106" s="239" t="s">
        <v>20</v>
      </c>
      <c r="J106" s="69"/>
    </row>
    <row r="107" spans="1:10" ht="24.6" customHeight="1" x14ac:dyDescent="0.35">
      <c r="A107" s="235" t="s">
        <v>319</v>
      </c>
      <c r="B107" s="2" t="s">
        <v>320</v>
      </c>
      <c r="C107" s="235" t="s">
        <v>321</v>
      </c>
      <c r="D107" s="67" t="s">
        <v>15</v>
      </c>
      <c r="E107" s="67" t="s">
        <v>16</v>
      </c>
      <c r="F107" s="235" t="s">
        <v>281</v>
      </c>
      <c r="G107" s="67" t="s">
        <v>85</v>
      </c>
      <c r="H107" s="68" t="s">
        <v>19</v>
      </c>
      <c r="I107" s="239" t="s">
        <v>20</v>
      </c>
      <c r="J107" s="69"/>
    </row>
    <row r="108" spans="1:10" ht="24.6" customHeight="1" x14ac:dyDescent="0.35">
      <c r="A108" s="235" t="s">
        <v>322</v>
      </c>
      <c r="B108" s="2" t="s">
        <v>323</v>
      </c>
      <c r="C108" s="85" t="s">
        <v>266</v>
      </c>
      <c r="D108" s="67" t="s">
        <v>15</v>
      </c>
      <c r="E108" s="67" t="s">
        <v>16</v>
      </c>
      <c r="F108" s="235" t="s">
        <v>281</v>
      </c>
      <c r="G108" s="67" t="s">
        <v>85</v>
      </c>
      <c r="H108" s="68" t="s">
        <v>19</v>
      </c>
      <c r="I108" s="239" t="s">
        <v>20</v>
      </c>
      <c r="J108" s="69"/>
    </row>
    <row r="109" spans="1:10" ht="24.6" customHeight="1" x14ac:dyDescent="0.35">
      <c r="A109" s="235" t="s">
        <v>324</v>
      </c>
      <c r="B109" s="2" t="s">
        <v>325</v>
      </c>
      <c r="C109" s="235"/>
      <c r="D109" s="67"/>
      <c r="E109" s="67"/>
      <c r="F109" s="235"/>
      <c r="G109" s="67"/>
      <c r="H109" s="68"/>
      <c r="I109" s="239"/>
      <c r="J109" s="69"/>
    </row>
    <row r="110" spans="1:10" ht="24.6" customHeight="1" x14ac:dyDescent="0.35">
      <c r="A110" s="235" t="s">
        <v>326</v>
      </c>
      <c r="B110" s="2" t="s">
        <v>45</v>
      </c>
      <c r="C110" s="85" t="s">
        <v>115</v>
      </c>
      <c r="D110" s="67" t="s">
        <v>15</v>
      </c>
      <c r="E110" s="67" t="s">
        <v>16</v>
      </c>
      <c r="F110" s="236" t="s">
        <v>80</v>
      </c>
      <c r="G110" s="67" t="s">
        <v>228</v>
      </c>
      <c r="H110" s="68" t="s">
        <v>19</v>
      </c>
      <c r="I110" s="239" t="s">
        <v>20</v>
      </c>
      <c r="J110" s="69"/>
    </row>
    <row r="111" spans="1:10" ht="24.6" customHeight="1" x14ac:dyDescent="0.35">
      <c r="A111" s="235" t="s">
        <v>327</v>
      </c>
      <c r="B111" s="2" t="s">
        <v>328</v>
      </c>
      <c r="C111" s="85" t="s">
        <v>115</v>
      </c>
      <c r="D111" s="67" t="s">
        <v>15</v>
      </c>
      <c r="E111" s="67" t="s">
        <v>16</v>
      </c>
      <c r="F111" s="236" t="s">
        <v>80</v>
      </c>
      <c r="G111" s="67" t="s">
        <v>228</v>
      </c>
      <c r="H111" s="68" t="s">
        <v>19</v>
      </c>
      <c r="I111" s="239" t="s">
        <v>20</v>
      </c>
      <c r="J111" s="69"/>
    </row>
    <row r="112" spans="1:10" ht="24.6" customHeight="1" x14ac:dyDescent="0.35">
      <c r="A112" s="235" t="s">
        <v>329</v>
      </c>
      <c r="B112" s="2" t="s">
        <v>330</v>
      </c>
      <c r="C112" s="85" t="s">
        <v>30</v>
      </c>
      <c r="D112" s="67" t="s">
        <v>15</v>
      </c>
      <c r="E112" s="67" t="s">
        <v>16</v>
      </c>
      <c r="F112" s="235" t="s">
        <v>281</v>
      </c>
      <c r="G112" s="67" t="s">
        <v>85</v>
      </c>
      <c r="H112" s="68" t="s">
        <v>26</v>
      </c>
      <c r="I112" s="239" t="s">
        <v>20</v>
      </c>
      <c r="J112" s="69"/>
    </row>
    <row r="113" spans="1:11" ht="24.6" customHeight="1" x14ac:dyDescent="0.35">
      <c r="A113" s="235" t="s">
        <v>331</v>
      </c>
      <c r="B113" s="2" t="s">
        <v>332</v>
      </c>
      <c r="C113" s="85" t="s">
        <v>30</v>
      </c>
      <c r="D113" s="67" t="s">
        <v>15</v>
      </c>
      <c r="E113" s="67" t="s">
        <v>16</v>
      </c>
      <c r="F113" s="235" t="s">
        <v>281</v>
      </c>
      <c r="G113" s="67" t="s">
        <v>85</v>
      </c>
      <c r="H113" s="68" t="s">
        <v>19</v>
      </c>
      <c r="I113" s="239" t="s">
        <v>20</v>
      </c>
      <c r="J113" s="69"/>
    </row>
    <row r="114" spans="1:11" ht="24.6" customHeight="1" x14ac:dyDescent="0.35">
      <c r="A114" s="235"/>
      <c r="B114" s="85" t="s">
        <v>333</v>
      </c>
      <c r="C114" s="85" t="s">
        <v>334</v>
      </c>
      <c r="D114" s="67"/>
      <c r="E114" s="67"/>
      <c r="F114" s="235"/>
      <c r="G114" s="67"/>
      <c r="H114" s="68"/>
      <c r="I114" s="239"/>
      <c r="J114" s="239"/>
    </row>
    <row r="115" spans="1:11" ht="24.6" customHeight="1" x14ac:dyDescent="0.35">
      <c r="A115" s="235"/>
      <c r="B115" s="85"/>
      <c r="C115" s="85"/>
      <c r="D115" s="67"/>
      <c r="E115" s="67"/>
      <c r="F115" s="235"/>
      <c r="G115" s="67"/>
      <c r="H115" s="68"/>
      <c r="I115" s="239"/>
      <c r="J115" s="239"/>
    </row>
    <row r="116" spans="1:11" ht="24.6" customHeight="1" x14ac:dyDescent="0.35">
      <c r="A116" s="235"/>
      <c r="B116" s="2" t="s">
        <v>335</v>
      </c>
      <c r="C116" s="85" t="s">
        <v>336</v>
      </c>
      <c r="D116" s="67"/>
      <c r="E116" s="67"/>
      <c r="F116" s="235"/>
      <c r="G116" s="67"/>
      <c r="H116" s="68"/>
      <c r="I116" s="239"/>
      <c r="J116" s="239"/>
    </row>
    <row r="117" spans="1:11" s="57" customFormat="1" ht="24.6" customHeight="1" x14ac:dyDescent="0.35">
      <c r="A117" s="235"/>
      <c r="B117" s="2"/>
      <c r="C117" s="85"/>
      <c r="D117" s="67"/>
      <c r="E117" s="67"/>
      <c r="F117" s="235"/>
      <c r="G117" s="67"/>
      <c r="H117" s="68"/>
      <c r="I117" s="239"/>
      <c r="J117" s="239"/>
      <c r="K117"/>
    </row>
    <row r="118" spans="1:11" ht="24.6" customHeight="1" x14ac:dyDescent="0.35">
      <c r="C118" s="2"/>
      <c r="J118" s="69"/>
    </row>
    <row r="119" spans="1:11" ht="24.6" customHeight="1" x14ac:dyDescent="0.35">
      <c r="A119" s="90"/>
      <c r="B119" s="91"/>
      <c r="C119" s="91"/>
      <c r="D119" s="90"/>
      <c r="E119" s="90"/>
      <c r="G119" s="90"/>
      <c r="H119" s="90"/>
      <c r="J119" s="69"/>
    </row>
    <row r="120" spans="1:11" ht="24.6" customHeight="1" x14ac:dyDescent="0.35">
      <c r="A120" s="87"/>
      <c r="B120" s="87"/>
      <c r="C120" s="87"/>
      <c r="D120" s="87"/>
      <c r="E120" s="87"/>
      <c r="F120" s="87"/>
      <c r="G120" s="324"/>
      <c r="H120" s="324"/>
      <c r="I120" s="324"/>
      <c r="J120" s="69"/>
      <c r="K120" s="87"/>
    </row>
    <row r="121" spans="1:11" ht="24.6" customHeight="1" x14ac:dyDescent="0.35">
      <c r="A121" s="93"/>
      <c r="B121" s="77"/>
      <c r="C121" s="93"/>
      <c r="D121" s="93"/>
      <c r="E121" s="93"/>
      <c r="F121" s="93"/>
      <c r="G121" s="89"/>
      <c r="H121" s="89"/>
      <c r="I121" s="73"/>
      <c r="J121" s="69"/>
      <c r="K121" s="78"/>
    </row>
    <row r="122" spans="1:11" ht="24.6" customHeight="1" x14ac:dyDescent="0.35">
      <c r="A122" s="425"/>
      <c r="B122" s="79"/>
      <c r="C122" s="425"/>
      <c r="D122" s="425"/>
      <c r="E122" s="425"/>
      <c r="F122" s="425"/>
      <c r="G122" s="85"/>
      <c r="H122" s="427"/>
      <c r="I122" s="80"/>
      <c r="J122" s="69"/>
      <c r="K122" s="78"/>
    </row>
    <row r="123" spans="1:11" ht="24.6" customHeight="1" x14ac:dyDescent="0.35">
      <c r="A123" s="93"/>
      <c r="B123" s="77"/>
      <c r="C123" s="85"/>
      <c r="D123" s="94"/>
      <c r="E123" s="94"/>
      <c r="F123" s="94"/>
      <c r="G123" s="93"/>
      <c r="H123" s="89"/>
      <c r="I123" s="73"/>
      <c r="J123" s="69"/>
      <c r="K123" s="74"/>
    </row>
    <row r="124" spans="1:11" ht="24.6" customHeight="1" x14ac:dyDescent="0.35">
      <c r="C124" s="2"/>
      <c r="J124" s="69"/>
    </row>
    <row r="125" spans="1:11" ht="24.6" customHeight="1" x14ac:dyDescent="0.35">
      <c r="C125" s="2"/>
      <c r="J125" s="69"/>
    </row>
    <row r="126" spans="1:11" ht="24.6" customHeight="1" x14ac:dyDescent="0.35">
      <c r="C126" s="2"/>
      <c r="J126" s="69"/>
    </row>
    <row r="127" spans="1:11" ht="24.6" customHeight="1" x14ac:dyDescent="0.35">
      <c r="C127" s="2"/>
      <c r="J127" s="81"/>
    </row>
    <row r="128" spans="1:11" ht="24.6" customHeight="1" x14ac:dyDescent="0.35">
      <c r="C128" s="2"/>
      <c r="J128" s="81"/>
    </row>
    <row r="129" spans="3:10" ht="24.6" customHeight="1" x14ac:dyDescent="0.35">
      <c r="C129" s="2"/>
      <c r="J129" s="81"/>
    </row>
    <row r="130" spans="3:10" ht="24.6" customHeight="1" x14ac:dyDescent="0.35">
      <c r="C130" s="2"/>
      <c r="J130" s="81"/>
    </row>
    <row r="131" spans="3:10" ht="24.6" customHeight="1" x14ac:dyDescent="0.35">
      <c r="C131" s="2"/>
      <c r="J131" s="81"/>
    </row>
  </sheetData>
  <phoneticPr fontId="25" type="noConversion"/>
  <dataValidations count="4">
    <dataValidation allowBlank="1" showInputMessage="1" showErrorMessage="1" prompt="Inserir o número do compartimento nesta coluna" sqref="A2:C2 A120:C120" xr:uid="{0E6D827E-CAB8-4ECB-A698-CD6099CD397F}"/>
    <dataValidation allowBlank="1" showInputMessage="1" showErrorMessage="1" prompt="Insira o local do compartimento nesta coluna" sqref="F2 F120" xr:uid="{7C4BDAB3-895E-4D01-A190-6B64038B3323}"/>
    <dataValidation allowBlank="1" showInputMessage="1" showErrorMessage="1" prompt="Insira a largura do compartimento nesta coluna" sqref="G2:I2 G120:I120" xr:uid="{B1991DD4-85A0-4170-853F-12C167324F98}"/>
    <dataValidation allowBlank="1" showInputMessage="1" showErrorMessage="1" prompt="Insira uma descrição do compartimento nesta coluna" sqref="D2:E2 D120:E120" xr:uid="{50060843-15C4-4A02-A4BC-DA1C0F49326B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FB73-F657-4A3D-88E0-91EFD89BA107}">
  <dimension ref="A1:K56"/>
  <sheetViews>
    <sheetView workbookViewId="0">
      <selection activeCell="B18" sqref="B18"/>
    </sheetView>
  </sheetViews>
  <sheetFormatPr defaultColWidth="8.90625" defaultRowHeight="15" x14ac:dyDescent="0.35"/>
  <cols>
    <col min="1" max="1" width="16.08984375" style="260" customWidth="1"/>
    <col min="2" max="2" width="40.1796875" style="260" customWidth="1"/>
    <col min="3" max="3" width="24.453125" style="263" customWidth="1"/>
    <col min="4" max="4" width="13.90625" style="260" customWidth="1"/>
    <col min="5" max="5" width="9.54296875" style="260" customWidth="1"/>
    <col min="6" max="6" width="13.54296875" style="260" customWidth="1"/>
    <col min="7" max="7" width="11.54296875" style="260" customWidth="1"/>
    <col min="8" max="8" width="11.1796875" style="260" customWidth="1"/>
    <col min="9" max="9" width="18.90625" style="260" customWidth="1"/>
    <col min="10" max="10" width="14.36328125" style="260" customWidth="1"/>
    <col min="11" max="11" width="13.54296875" style="260" customWidth="1"/>
    <col min="12" max="16384" width="8.90625" style="260"/>
  </cols>
  <sheetData>
    <row r="1" spans="1:11" s="41" customFormat="1" ht="24.6" customHeight="1" x14ac:dyDescent="0.35">
      <c r="A1" s="419" t="s">
        <v>1</v>
      </c>
      <c r="B1" s="419" t="s">
        <v>2</v>
      </c>
      <c r="C1" s="419" t="s">
        <v>3</v>
      </c>
      <c r="D1" s="419" t="s">
        <v>4</v>
      </c>
      <c r="E1" s="419" t="s">
        <v>5</v>
      </c>
      <c r="F1" s="419" t="s">
        <v>6</v>
      </c>
      <c r="G1" s="419" t="s">
        <v>7</v>
      </c>
      <c r="H1" s="419" t="s">
        <v>8</v>
      </c>
      <c r="I1" s="420" t="s">
        <v>9</v>
      </c>
      <c r="J1" s="421" t="s">
        <v>10</v>
      </c>
      <c r="K1" s="420" t="s">
        <v>11</v>
      </c>
    </row>
    <row r="2" spans="1:11" x14ac:dyDescent="0.35">
      <c r="B2" s="260" t="s">
        <v>337</v>
      </c>
      <c r="C2" s="263" t="s">
        <v>338</v>
      </c>
      <c r="D2" s="236" t="s">
        <v>15</v>
      </c>
      <c r="E2" s="236" t="s">
        <v>16</v>
      </c>
      <c r="F2" s="236" t="s">
        <v>17</v>
      </c>
      <c r="H2" s="263" t="s">
        <v>338</v>
      </c>
      <c r="I2" s="422" t="s">
        <v>20</v>
      </c>
      <c r="J2" s="422" t="s">
        <v>21</v>
      </c>
    </row>
    <row r="3" spans="1:11" x14ac:dyDescent="0.35">
      <c r="B3" s="260" t="s">
        <v>339</v>
      </c>
      <c r="C3" s="263" t="s">
        <v>338</v>
      </c>
      <c r="D3" s="236" t="s">
        <v>15</v>
      </c>
      <c r="E3" s="236" t="s">
        <v>16</v>
      </c>
      <c r="F3" s="236" t="s">
        <v>17</v>
      </c>
      <c r="H3" s="263" t="s">
        <v>338</v>
      </c>
      <c r="I3" s="422" t="s">
        <v>20</v>
      </c>
      <c r="J3" s="422" t="s">
        <v>21</v>
      </c>
    </row>
    <row r="4" spans="1:11" x14ac:dyDescent="0.35">
      <c r="B4" s="260" t="s">
        <v>340</v>
      </c>
      <c r="C4" s="263" t="s">
        <v>338</v>
      </c>
      <c r="D4" s="236" t="s">
        <v>15</v>
      </c>
      <c r="E4" s="236" t="s">
        <v>16</v>
      </c>
      <c r="F4" s="236" t="s">
        <v>17</v>
      </c>
      <c r="H4" s="263" t="s">
        <v>338</v>
      </c>
      <c r="I4" s="422" t="s">
        <v>20</v>
      </c>
      <c r="J4" s="422" t="s">
        <v>21</v>
      </c>
    </row>
    <row r="5" spans="1:11" x14ac:dyDescent="0.35">
      <c r="B5" s="260" t="s">
        <v>341</v>
      </c>
      <c r="C5" s="263" t="s">
        <v>338</v>
      </c>
      <c r="D5" s="236" t="s">
        <v>15</v>
      </c>
      <c r="E5" s="236" t="s">
        <v>16</v>
      </c>
      <c r="F5" s="236" t="s">
        <v>17</v>
      </c>
      <c r="H5" s="263" t="s">
        <v>338</v>
      </c>
      <c r="I5" s="422" t="s">
        <v>20</v>
      </c>
      <c r="J5" s="422" t="s">
        <v>21</v>
      </c>
    </row>
    <row r="6" spans="1:11" x14ac:dyDescent="0.35">
      <c r="B6" s="260" t="s">
        <v>342</v>
      </c>
      <c r="C6" s="263" t="s">
        <v>338</v>
      </c>
      <c r="D6" s="236" t="s">
        <v>15</v>
      </c>
      <c r="E6" s="236" t="s">
        <v>16</v>
      </c>
      <c r="F6" s="236" t="s">
        <v>17</v>
      </c>
      <c r="H6" s="263" t="s">
        <v>338</v>
      </c>
      <c r="I6" s="422" t="s">
        <v>20</v>
      </c>
      <c r="J6" s="422" t="s">
        <v>21</v>
      </c>
    </row>
    <row r="7" spans="1:11" x14ac:dyDescent="0.35">
      <c r="A7" s="260" t="s">
        <v>343</v>
      </c>
      <c r="B7" s="260" t="s">
        <v>344</v>
      </c>
      <c r="C7" s="263" t="s">
        <v>338</v>
      </c>
      <c r="D7" s="236" t="s">
        <v>15</v>
      </c>
      <c r="E7" s="236" t="s">
        <v>16</v>
      </c>
      <c r="F7" s="236" t="s">
        <v>17</v>
      </c>
      <c r="H7" s="263" t="s">
        <v>338</v>
      </c>
      <c r="I7" s="422" t="s">
        <v>20</v>
      </c>
      <c r="J7" s="422" t="s">
        <v>21</v>
      </c>
    </row>
    <row r="8" spans="1:11" x14ac:dyDescent="0.35">
      <c r="A8" s="260" t="s">
        <v>345</v>
      </c>
      <c r="B8" s="260" t="s">
        <v>346</v>
      </c>
      <c r="C8" s="263" t="s">
        <v>338</v>
      </c>
      <c r="D8" s="236" t="s">
        <v>15</v>
      </c>
      <c r="E8" s="236" t="s">
        <v>16</v>
      </c>
      <c r="F8" s="236" t="s">
        <v>17</v>
      </c>
      <c r="H8" s="263" t="s">
        <v>338</v>
      </c>
      <c r="I8" s="422" t="s">
        <v>20</v>
      </c>
      <c r="J8" s="422" t="s">
        <v>21</v>
      </c>
    </row>
    <row r="9" spans="1:11" x14ac:dyDescent="0.35">
      <c r="B9" s="260" t="s">
        <v>347</v>
      </c>
      <c r="C9" s="263" t="s">
        <v>338</v>
      </c>
      <c r="D9" s="236" t="s">
        <v>15</v>
      </c>
      <c r="E9" s="236" t="s">
        <v>16</v>
      </c>
      <c r="F9" s="236" t="s">
        <v>17</v>
      </c>
      <c r="H9" s="263" t="s">
        <v>338</v>
      </c>
      <c r="I9" s="422" t="s">
        <v>20</v>
      </c>
      <c r="J9" s="422" t="s">
        <v>21</v>
      </c>
    </row>
    <row r="10" spans="1:11" x14ac:dyDescent="0.35">
      <c r="B10" s="260" t="s">
        <v>348</v>
      </c>
      <c r="C10" s="263" t="s">
        <v>338</v>
      </c>
      <c r="D10" s="236" t="s">
        <v>15</v>
      </c>
      <c r="E10" s="236" t="s">
        <v>16</v>
      </c>
      <c r="F10" s="236" t="s">
        <v>17</v>
      </c>
      <c r="H10" s="263" t="s">
        <v>338</v>
      </c>
      <c r="I10" s="422" t="s">
        <v>20</v>
      </c>
      <c r="J10" s="422" t="s">
        <v>21</v>
      </c>
    </row>
    <row r="11" spans="1:11" x14ac:dyDescent="0.35">
      <c r="A11" s="260" t="s">
        <v>349</v>
      </c>
      <c r="B11" s="260" t="s">
        <v>350</v>
      </c>
      <c r="C11" s="263" t="s">
        <v>338</v>
      </c>
      <c r="D11" s="236" t="s">
        <v>15</v>
      </c>
      <c r="E11" s="236" t="s">
        <v>16</v>
      </c>
      <c r="F11" s="236" t="s">
        <v>17</v>
      </c>
      <c r="H11" s="263" t="s">
        <v>338</v>
      </c>
      <c r="I11" s="422" t="s">
        <v>20</v>
      </c>
      <c r="J11" s="422" t="s">
        <v>21</v>
      </c>
    </row>
    <row r="12" spans="1:11" x14ac:dyDescent="0.35">
      <c r="A12" s="260" t="s">
        <v>351</v>
      </c>
      <c r="B12" s="260" t="s">
        <v>352</v>
      </c>
      <c r="C12" s="263" t="s">
        <v>338</v>
      </c>
      <c r="D12" s="236" t="s">
        <v>15</v>
      </c>
      <c r="E12" s="236" t="s">
        <v>16</v>
      </c>
      <c r="F12" s="236" t="s">
        <v>17</v>
      </c>
      <c r="H12" s="263" t="s">
        <v>338</v>
      </c>
      <c r="I12" s="422" t="s">
        <v>20</v>
      </c>
      <c r="J12" s="422" t="s">
        <v>21</v>
      </c>
    </row>
    <row r="13" spans="1:11" x14ac:dyDescent="0.35">
      <c r="A13" s="260" t="s">
        <v>353</v>
      </c>
      <c r="B13" s="260" t="s">
        <v>354</v>
      </c>
      <c r="C13" s="263" t="s">
        <v>338</v>
      </c>
      <c r="D13" s="236" t="s">
        <v>15</v>
      </c>
      <c r="E13" s="236" t="s">
        <v>16</v>
      </c>
      <c r="F13" s="236" t="s">
        <v>17</v>
      </c>
      <c r="H13" s="263" t="s">
        <v>338</v>
      </c>
      <c r="I13" s="422" t="s">
        <v>20</v>
      </c>
      <c r="J13" s="422" t="s">
        <v>21</v>
      </c>
    </row>
    <row r="14" spans="1:11" x14ac:dyDescent="0.35">
      <c r="A14" s="260" t="s">
        <v>355</v>
      </c>
      <c r="B14" s="260" t="s">
        <v>356</v>
      </c>
      <c r="C14" s="263" t="s">
        <v>338</v>
      </c>
      <c r="D14" s="236" t="s">
        <v>15</v>
      </c>
      <c r="E14" s="236" t="s">
        <v>16</v>
      </c>
      <c r="F14" s="236" t="s">
        <v>17</v>
      </c>
      <c r="H14" s="263" t="s">
        <v>338</v>
      </c>
      <c r="I14" s="422" t="s">
        <v>20</v>
      </c>
      <c r="J14" s="422" t="s">
        <v>21</v>
      </c>
    </row>
    <row r="15" spans="1:11" x14ac:dyDescent="0.35">
      <c r="B15" s="260" t="s">
        <v>357</v>
      </c>
      <c r="C15" s="263" t="s">
        <v>338</v>
      </c>
      <c r="D15" s="236" t="s">
        <v>15</v>
      </c>
      <c r="E15" s="236" t="s">
        <v>16</v>
      </c>
      <c r="F15" s="236" t="s">
        <v>17</v>
      </c>
      <c r="H15" s="263" t="s">
        <v>338</v>
      </c>
    </row>
    <row r="16" spans="1:11" x14ac:dyDescent="0.35">
      <c r="B16" s="260" t="s">
        <v>357</v>
      </c>
      <c r="C16" s="263" t="s">
        <v>338</v>
      </c>
      <c r="D16" s="236" t="s">
        <v>15</v>
      </c>
      <c r="E16" s="236" t="s">
        <v>16</v>
      </c>
      <c r="F16" s="236" t="s">
        <v>17</v>
      </c>
      <c r="H16" s="263" t="s">
        <v>338</v>
      </c>
    </row>
    <row r="17" spans="1:9" x14ac:dyDescent="0.35">
      <c r="B17" s="260" t="s">
        <v>357</v>
      </c>
      <c r="C17" s="263" t="s">
        <v>338</v>
      </c>
      <c r="D17" s="236" t="s">
        <v>15</v>
      </c>
      <c r="E17" s="236" t="s">
        <v>16</v>
      </c>
      <c r="F17" s="236" t="s">
        <v>17</v>
      </c>
      <c r="H17" s="263" t="s">
        <v>338</v>
      </c>
    </row>
    <row r="18" spans="1:9" x14ac:dyDescent="0.35">
      <c r="B18" s="260" t="s">
        <v>357</v>
      </c>
      <c r="C18" s="263" t="s">
        <v>338</v>
      </c>
      <c r="D18" s="236" t="s">
        <v>15</v>
      </c>
      <c r="E18" s="236" t="s">
        <v>16</v>
      </c>
      <c r="F18" s="236" t="s">
        <v>17</v>
      </c>
      <c r="H18" s="263" t="s">
        <v>338</v>
      </c>
    </row>
    <row r="19" spans="1:9" x14ac:dyDescent="0.35">
      <c r="B19" s="260" t="s">
        <v>357</v>
      </c>
      <c r="C19" s="263" t="s">
        <v>338</v>
      </c>
      <c r="D19" s="236" t="s">
        <v>15</v>
      </c>
      <c r="E19" s="236" t="s">
        <v>16</v>
      </c>
      <c r="F19" s="236" t="s">
        <v>17</v>
      </c>
      <c r="H19" s="263" t="s">
        <v>338</v>
      </c>
    </row>
    <row r="20" spans="1:9" x14ac:dyDescent="0.35">
      <c r="B20" s="260" t="s">
        <v>357</v>
      </c>
      <c r="C20" s="263" t="s">
        <v>338</v>
      </c>
      <c r="D20" s="236" t="s">
        <v>15</v>
      </c>
      <c r="E20" s="236" t="s">
        <v>16</v>
      </c>
      <c r="F20" s="236" t="s">
        <v>17</v>
      </c>
      <c r="H20" s="263" t="s">
        <v>338</v>
      </c>
    </row>
    <row r="21" spans="1:9" x14ac:dyDescent="0.35">
      <c r="B21" s="260" t="s">
        <v>357</v>
      </c>
      <c r="C21" s="263" t="s">
        <v>338</v>
      </c>
      <c r="D21" s="236" t="s">
        <v>15</v>
      </c>
      <c r="E21" s="236" t="s">
        <v>16</v>
      </c>
      <c r="F21" s="236" t="s">
        <v>17</v>
      </c>
      <c r="H21" s="263" t="s">
        <v>338</v>
      </c>
    </row>
    <row r="22" spans="1:9" x14ac:dyDescent="0.35">
      <c r="B22" s="260" t="s">
        <v>357</v>
      </c>
      <c r="C22" s="263" t="s">
        <v>338</v>
      </c>
      <c r="D22" s="236" t="s">
        <v>15</v>
      </c>
      <c r="E22" s="236" t="s">
        <v>16</v>
      </c>
      <c r="F22" s="236" t="s">
        <v>17</v>
      </c>
      <c r="H22" s="263" t="s">
        <v>338</v>
      </c>
    </row>
    <row r="23" spans="1:9" x14ac:dyDescent="0.35">
      <c r="B23" s="260" t="s">
        <v>357</v>
      </c>
      <c r="C23" s="263" t="s">
        <v>338</v>
      </c>
      <c r="D23" s="236" t="s">
        <v>15</v>
      </c>
      <c r="E23" s="236" t="s">
        <v>16</v>
      </c>
      <c r="F23" s="236" t="s">
        <v>17</v>
      </c>
      <c r="H23" s="263" t="s">
        <v>338</v>
      </c>
    </row>
    <row r="24" spans="1:9" x14ac:dyDescent="0.35">
      <c r="B24" s="260" t="s">
        <v>357</v>
      </c>
      <c r="C24" s="263" t="s">
        <v>338</v>
      </c>
      <c r="D24" s="236" t="s">
        <v>15</v>
      </c>
      <c r="E24" s="236" t="s">
        <v>16</v>
      </c>
      <c r="F24" s="236" t="s">
        <v>17</v>
      </c>
      <c r="H24" s="263" t="s">
        <v>338</v>
      </c>
    </row>
    <row r="25" spans="1:9" x14ac:dyDescent="0.35">
      <c r="B25" s="260" t="s">
        <v>357</v>
      </c>
      <c r="C25" s="263" t="s">
        <v>338</v>
      </c>
      <c r="D25" s="236" t="s">
        <v>15</v>
      </c>
      <c r="E25" s="236" t="s">
        <v>16</v>
      </c>
      <c r="F25" s="236" t="s">
        <v>17</v>
      </c>
      <c r="H25" s="263" t="s">
        <v>338</v>
      </c>
    </row>
    <row r="26" spans="1:9" x14ac:dyDescent="0.35">
      <c r="B26" s="260" t="s">
        <v>357</v>
      </c>
      <c r="C26" s="263" t="s">
        <v>338</v>
      </c>
      <c r="D26" s="236" t="s">
        <v>15</v>
      </c>
      <c r="E26" s="236" t="s">
        <v>16</v>
      </c>
      <c r="F26" s="236" t="s">
        <v>17</v>
      </c>
      <c r="H26" s="263" t="s">
        <v>338</v>
      </c>
    </row>
    <row r="27" spans="1:9" x14ac:dyDescent="0.35">
      <c r="B27" s="260" t="s">
        <v>357</v>
      </c>
      <c r="C27" s="263" t="s">
        <v>338</v>
      </c>
      <c r="D27" s="236" t="s">
        <v>15</v>
      </c>
      <c r="E27" s="236" t="s">
        <v>16</v>
      </c>
      <c r="F27" s="236" t="s">
        <v>17</v>
      </c>
      <c r="H27" s="263" t="s">
        <v>338</v>
      </c>
    </row>
    <row r="28" spans="1:9" x14ac:dyDescent="0.35">
      <c r="B28" s="260" t="s">
        <v>358</v>
      </c>
      <c r="C28" s="263" t="s">
        <v>338</v>
      </c>
      <c r="D28" s="236" t="s">
        <v>15</v>
      </c>
      <c r="E28" s="236" t="s">
        <v>16</v>
      </c>
      <c r="F28" s="236" t="s">
        <v>31</v>
      </c>
      <c r="H28" s="263" t="s">
        <v>338</v>
      </c>
      <c r="I28" s="235" t="s">
        <v>359</v>
      </c>
    </row>
    <row r="29" spans="1:9" x14ac:dyDescent="0.35">
      <c r="B29" s="260" t="s">
        <v>360</v>
      </c>
      <c r="C29" s="263" t="s">
        <v>338</v>
      </c>
      <c r="D29" s="236" t="s">
        <v>15</v>
      </c>
      <c r="E29" s="236" t="s">
        <v>16</v>
      </c>
      <c r="F29" s="236" t="s">
        <v>31</v>
      </c>
      <c r="H29" s="263" t="s">
        <v>338</v>
      </c>
      <c r="I29" s="235" t="s">
        <v>359</v>
      </c>
    </row>
    <row r="30" spans="1:9" x14ac:dyDescent="0.35">
      <c r="B30" s="260" t="s">
        <v>361</v>
      </c>
      <c r="C30" s="263" t="s">
        <v>338</v>
      </c>
      <c r="D30" s="236" t="s">
        <v>15</v>
      </c>
      <c r="E30" s="236" t="s">
        <v>16</v>
      </c>
      <c r="F30" s="236" t="s">
        <v>31</v>
      </c>
      <c r="H30" s="263" t="s">
        <v>338</v>
      </c>
      <c r="I30" s="235" t="s">
        <v>359</v>
      </c>
    </row>
    <row r="31" spans="1:9" x14ac:dyDescent="0.35">
      <c r="A31" s="260" t="s">
        <v>74</v>
      </c>
      <c r="B31" s="260" t="s">
        <v>362</v>
      </c>
      <c r="C31" s="263" t="s">
        <v>338</v>
      </c>
      <c r="D31" s="236" t="s">
        <v>15</v>
      </c>
      <c r="E31" s="236" t="s">
        <v>16</v>
      </c>
      <c r="F31" s="236" t="s">
        <v>31</v>
      </c>
      <c r="H31" s="263" t="s">
        <v>338</v>
      </c>
      <c r="I31" s="235" t="s">
        <v>359</v>
      </c>
    </row>
    <row r="32" spans="1:9" x14ac:dyDescent="0.35">
      <c r="B32" s="260" t="s">
        <v>363</v>
      </c>
      <c r="C32" s="263" t="s">
        <v>338</v>
      </c>
      <c r="D32" s="236" t="s">
        <v>15</v>
      </c>
      <c r="E32" s="236" t="s">
        <v>16</v>
      </c>
      <c r="F32" s="236" t="s">
        <v>31</v>
      </c>
      <c r="H32" s="263" t="s">
        <v>338</v>
      </c>
      <c r="I32" s="235" t="s">
        <v>359</v>
      </c>
    </row>
    <row r="33" spans="1:9" x14ac:dyDescent="0.35">
      <c r="A33" s="260" t="s">
        <v>364</v>
      </c>
      <c r="B33" s="260" t="s">
        <v>365</v>
      </c>
      <c r="C33" s="263" t="s">
        <v>366</v>
      </c>
      <c r="D33" s="236" t="s">
        <v>15</v>
      </c>
      <c r="E33" s="236" t="s">
        <v>16</v>
      </c>
      <c r="F33" s="236" t="s">
        <v>31</v>
      </c>
      <c r="H33" s="263" t="s">
        <v>338</v>
      </c>
      <c r="I33" s="235" t="s">
        <v>359</v>
      </c>
    </row>
    <row r="34" spans="1:9" x14ac:dyDescent="0.35">
      <c r="A34" t="s">
        <v>367</v>
      </c>
      <c r="B34" s="260" t="s">
        <v>368</v>
      </c>
      <c r="C34" s="263" t="s">
        <v>338</v>
      </c>
      <c r="D34" s="236" t="s">
        <v>15</v>
      </c>
      <c r="E34" s="236" t="s">
        <v>16</v>
      </c>
      <c r="F34" s="236" t="s">
        <v>31</v>
      </c>
      <c r="H34" s="263" t="s">
        <v>338</v>
      </c>
      <c r="I34" s="235" t="s">
        <v>359</v>
      </c>
    </row>
    <row r="35" spans="1:9" x14ac:dyDescent="0.35">
      <c r="B35" s="260" t="s">
        <v>369</v>
      </c>
      <c r="C35" s="263" t="s">
        <v>338</v>
      </c>
      <c r="D35" s="236" t="s">
        <v>15</v>
      </c>
      <c r="E35" s="236" t="s">
        <v>16</v>
      </c>
      <c r="F35" s="236" t="s">
        <v>31</v>
      </c>
      <c r="H35" s="263" t="s">
        <v>338</v>
      </c>
      <c r="I35" s="235" t="s">
        <v>359</v>
      </c>
    </row>
    <row r="36" spans="1:9" x14ac:dyDescent="0.35">
      <c r="B36" s="260" t="s">
        <v>370</v>
      </c>
      <c r="C36" s="263" t="s">
        <v>338</v>
      </c>
      <c r="D36" s="236" t="s">
        <v>15</v>
      </c>
      <c r="E36" s="236" t="s">
        <v>16</v>
      </c>
      <c r="F36" s="236" t="s">
        <v>31</v>
      </c>
      <c r="H36" s="263" t="s">
        <v>338</v>
      </c>
      <c r="I36" s="235" t="s">
        <v>359</v>
      </c>
    </row>
    <row r="37" spans="1:9" x14ac:dyDescent="0.35">
      <c r="A37" s="260" t="s">
        <v>371</v>
      </c>
      <c r="B37" s="260" t="s">
        <v>372</v>
      </c>
      <c r="C37" s="263" t="s">
        <v>338</v>
      </c>
      <c r="D37" s="236" t="s">
        <v>15</v>
      </c>
      <c r="E37" s="236" t="s">
        <v>16</v>
      </c>
      <c r="F37" s="236" t="s">
        <v>31</v>
      </c>
      <c r="H37" s="263" t="s">
        <v>338</v>
      </c>
      <c r="I37" s="235" t="s">
        <v>359</v>
      </c>
    </row>
    <row r="38" spans="1:9" x14ac:dyDescent="0.35">
      <c r="B38" s="260" t="s">
        <v>373</v>
      </c>
      <c r="C38" s="263" t="s">
        <v>338</v>
      </c>
      <c r="D38" s="236" t="s">
        <v>15</v>
      </c>
      <c r="E38" s="236" t="s">
        <v>16</v>
      </c>
      <c r="F38" s="236" t="s">
        <v>31</v>
      </c>
      <c r="H38" s="263" t="s">
        <v>338</v>
      </c>
      <c r="I38" s="235" t="s">
        <v>359</v>
      </c>
    </row>
    <row r="39" spans="1:9" x14ac:dyDescent="0.35">
      <c r="A39" t="s">
        <v>374</v>
      </c>
      <c r="B39" s="260" t="s">
        <v>375</v>
      </c>
      <c r="C39" s="263" t="s">
        <v>338</v>
      </c>
      <c r="D39" s="236" t="s">
        <v>15</v>
      </c>
      <c r="E39" s="236" t="s">
        <v>16</v>
      </c>
      <c r="F39" s="236" t="s">
        <v>31</v>
      </c>
      <c r="H39" s="263" t="s">
        <v>338</v>
      </c>
      <c r="I39" s="235" t="s">
        <v>359</v>
      </c>
    </row>
    <row r="40" spans="1:9" x14ac:dyDescent="0.35">
      <c r="B40" s="260" t="s">
        <v>376</v>
      </c>
      <c r="C40" s="263" t="s">
        <v>338</v>
      </c>
      <c r="D40" s="236" t="s">
        <v>15</v>
      </c>
      <c r="E40" s="236" t="s">
        <v>16</v>
      </c>
      <c r="F40" s="236" t="s">
        <v>31</v>
      </c>
      <c r="H40" s="263" t="s">
        <v>338</v>
      </c>
      <c r="I40" s="235" t="s">
        <v>359</v>
      </c>
    </row>
    <row r="41" spans="1:9" x14ac:dyDescent="0.35">
      <c r="A41" s="260" t="s">
        <v>377</v>
      </c>
      <c r="B41" s="260" t="s">
        <v>378</v>
      </c>
      <c r="C41" s="263" t="s">
        <v>379</v>
      </c>
      <c r="D41" s="236" t="s">
        <v>15</v>
      </c>
      <c r="E41" s="236" t="s">
        <v>16</v>
      </c>
      <c r="F41" s="236" t="s">
        <v>31</v>
      </c>
      <c r="H41" s="263" t="s">
        <v>338</v>
      </c>
      <c r="I41" s="235" t="s">
        <v>359</v>
      </c>
    </row>
    <row r="42" spans="1:9" x14ac:dyDescent="0.35">
      <c r="B42" s="260" t="s">
        <v>380</v>
      </c>
      <c r="C42" s="263" t="s">
        <v>338</v>
      </c>
      <c r="D42" s="236" t="s">
        <v>15</v>
      </c>
      <c r="E42" s="236" t="s">
        <v>16</v>
      </c>
      <c r="F42" s="236" t="s">
        <v>31</v>
      </c>
      <c r="H42" s="263" t="s">
        <v>338</v>
      </c>
      <c r="I42" s="235" t="s">
        <v>359</v>
      </c>
    </row>
    <row r="43" spans="1:9" x14ac:dyDescent="0.35">
      <c r="A43" s="260" t="s">
        <v>381</v>
      </c>
      <c r="B43" s="260" t="s">
        <v>382</v>
      </c>
      <c r="C43" s="263" t="s">
        <v>366</v>
      </c>
      <c r="D43" s="236" t="s">
        <v>15</v>
      </c>
      <c r="E43" s="236" t="s">
        <v>16</v>
      </c>
      <c r="F43" s="236" t="s">
        <v>31</v>
      </c>
      <c r="H43" s="263" t="s">
        <v>338</v>
      </c>
      <c r="I43" s="235" t="s">
        <v>359</v>
      </c>
    </row>
    <row r="44" spans="1:9" x14ac:dyDescent="0.35">
      <c r="B44" s="260" t="s">
        <v>383</v>
      </c>
      <c r="C44" s="263" t="s">
        <v>338</v>
      </c>
      <c r="D44" s="236" t="s">
        <v>15</v>
      </c>
      <c r="E44" s="236" t="s">
        <v>16</v>
      </c>
      <c r="F44" s="236" t="s">
        <v>31</v>
      </c>
      <c r="H44" s="263" t="s">
        <v>338</v>
      </c>
      <c r="I44" s="235" t="s">
        <v>359</v>
      </c>
    </row>
    <row r="45" spans="1:9" x14ac:dyDescent="0.35">
      <c r="B45" s="260" t="s">
        <v>384</v>
      </c>
      <c r="C45" s="263" t="s">
        <v>366</v>
      </c>
      <c r="D45" s="236" t="s">
        <v>15</v>
      </c>
      <c r="E45" s="236" t="s">
        <v>16</v>
      </c>
      <c r="F45" s="236" t="s">
        <v>31</v>
      </c>
      <c r="H45" s="263" t="s">
        <v>338</v>
      </c>
      <c r="I45" s="235" t="s">
        <v>359</v>
      </c>
    </row>
    <row r="46" spans="1:9" x14ac:dyDescent="0.35">
      <c r="B46" s="260" t="s">
        <v>385</v>
      </c>
      <c r="C46" s="263" t="s">
        <v>338</v>
      </c>
      <c r="D46" s="236" t="s">
        <v>15</v>
      </c>
      <c r="E46" s="236" t="s">
        <v>16</v>
      </c>
      <c r="F46" s="236" t="s">
        <v>31</v>
      </c>
      <c r="H46" s="263" t="s">
        <v>338</v>
      </c>
      <c r="I46" s="235" t="s">
        <v>359</v>
      </c>
    </row>
    <row r="47" spans="1:9" x14ac:dyDescent="0.35">
      <c r="B47" s="260" t="s">
        <v>386</v>
      </c>
      <c r="C47" s="263" t="s">
        <v>338</v>
      </c>
      <c r="D47" s="236" t="s">
        <v>15</v>
      </c>
      <c r="E47" s="236" t="s">
        <v>16</v>
      </c>
      <c r="F47" s="236" t="s">
        <v>31</v>
      </c>
      <c r="H47" s="263" t="s">
        <v>338</v>
      </c>
      <c r="I47" s="235" t="s">
        <v>359</v>
      </c>
    </row>
    <row r="48" spans="1:9" x14ac:dyDescent="0.35">
      <c r="B48" s="260" t="s">
        <v>387</v>
      </c>
      <c r="C48" s="263" t="s">
        <v>338</v>
      </c>
      <c r="D48" s="236" t="s">
        <v>15</v>
      </c>
      <c r="E48" s="236" t="s">
        <v>16</v>
      </c>
      <c r="F48" s="236" t="s">
        <v>31</v>
      </c>
      <c r="H48" s="263" t="s">
        <v>338</v>
      </c>
      <c r="I48" s="235" t="s">
        <v>359</v>
      </c>
    </row>
    <row r="52" spans="2:3" s="424" customFormat="1" x14ac:dyDescent="0.35">
      <c r="C52" s="423"/>
    </row>
    <row r="53" spans="2:3" x14ac:dyDescent="0.35">
      <c r="B53" s="260" t="s">
        <v>388</v>
      </c>
    </row>
    <row r="54" spans="2:3" x14ac:dyDescent="0.35">
      <c r="B54" s="260" t="s">
        <v>389</v>
      </c>
    </row>
    <row r="55" spans="2:3" x14ac:dyDescent="0.35">
      <c r="B55" s="260" t="s">
        <v>390</v>
      </c>
    </row>
    <row r="56" spans="2:3" x14ac:dyDescent="0.35">
      <c r="B56" s="260" t="s">
        <v>391</v>
      </c>
    </row>
  </sheetData>
  <phoneticPr fontId="25" type="noConversion"/>
  <dataValidations count="4">
    <dataValidation allowBlank="1" showInputMessage="1" showErrorMessage="1" prompt="Inserir o número do compartimento nesta coluna" sqref="A1:C1" xr:uid="{919F5CED-06B0-49E4-A52D-F72D82731605}"/>
    <dataValidation allowBlank="1" showInputMessage="1" showErrorMessage="1" prompt="Insira o local do compartimento nesta coluna" sqref="F1" xr:uid="{25308DCA-F9FD-4374-9068-D6EAD2492F73}"/>
    <dataValidation allowBlank="1" showInputMessage="1" showErrorMessage="1" prompt="Insira a largura do compartimento nesta coluna" sqref="G1:I1" xr:uid="{E5F1EAD7-FFC8-400B-840C-41BF1C0B9B43}"/>
    <dataValidation allowBlank="1" showInputMessage="1" showErrorMessage="1" prompt="Insira uma descrição do compartimento nesta coluna" sqref="D1:E1" xr:uid="{6E27426E-C7B9-45F8-BB3E-ACE629DF70C8}"/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F13E-1A15-427D-8869-DE9EF21B1CFD}">
  <dimension ref="A1:E11"/>
  <sheetViews>
    <sheetView workbookViewId="0">
      <selection activeCell="A13" sqref="A13"/>
    </sheetView>
  </sheetViews>
  <sheetFormatPr defaultRowHeight="15" x14ac:dyDescent="0.35"/>
  <cols>
    <col min="1" max="1" width="20.1796875" customWidth="1"/>
  </cols>
  <sheetData>
    <row r="1" spans="1:5" ht="21.6" x14ac:dyDescent="0.35">
      <c r="A1" s="400" t="s">
        <v>8</v>
      </c>
      <c r="B1" s="400" t="s">
        <v>392</v>
      </c>
      <c r="E1" s="102" t="s">
        <v>393</v>
      </c>
    </row>
    <row r="3" spans="1:5" x14ac:dyDescent="0.35">
      <c r="A3" t="s">
        <v>394</v>
      </c>
      <c r="B3">
        <v>1</v>
      </c>
      <c r="E3" t="s">
        <v>395</v>
      </c>
    </row>
    <row r="5" spans="1:5" x14ac:dyDescent="0.35">
      <c r="A5" t="s">
        <v>243</v>
      </c>
      <c r="B5">
        <v>1</v>
      </c>
      <c r="E5" t="s">
        <v>67</v>
      </c>
    </row>
    <row r="7" spans="1:5" x14ac:dyDescent="0.35">
      <c r="A7" t="s">
        <v>396</v>
      </c>
      <c r="B7">
        <v>1</v>
      </c>
      <c r="E7" t="s">
        <v>397</v>
      </c>
    </row>
    <row r="9" spans="1:5" x14ac:dyDescent="0.35">
      <c r="A9" t="s">
        <v>201</v>
      </c>
      <c r="B9">
        <v>1</v>
      </c>
    </row>
    <row r="11" spans="1:5" x14ac:dyDescent="0.35">
      <c r="A11" t="s">
        <v>398</v>
      </c>
      <c r="B11">
        <v>1</v>
      </c>
      <c r="E11" t="s">
        <v>399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90F4-D64C-4915-AA41-09FB563E8820}">
  <dimension ref="A1:G30"/>
  <sheetViews>
    <sheetView workbookViewId="0">
      <selection activeCell="B10" sqref="B10"/>
    </sheetView>
  </sheetViews>
  <sheetFormatPr defaultRowHeight="15" x14ac:dyDescent="0.35"/>
  <cols>
    <col min="1" max="1" width="18.453125" customWidth="1"/>
    <col min="2" max="2" width="17" customWidth="1"/>
    <col min="3" max="3" width="19.81640625" customWidth="1"/>
    <col min="4" max="4" width="11.36328125" customWidth="1"/>
    <col min="5" max="5" width="10.6328125" customWidth="1"/>
    <col min="6" max="6" width="13.36328125" customWidth="1"/>
    <col min="7" max="7" width="14.453125" customWidth="1"/>
  </cols>
  <sheetData>
    <row r="1" spans="1:7" ht="18" x14ac:dyDescent="0.35">
      <c r="A1" s="447" t="s">
        <v>400</v>
      </c>
      <c r="B1" s="448"/>
      <c r="C1" s="448"/>
      <c r="D1" s="448"/>
      <c r="E1" s="448"/>
      <c r="F1" s="448"/>
      <c r="G1" s="448"/>
    </row>
    <row r="2" spans="1:7" x14ac:dyDescent="0.3">
      <c r="A2" s="401" t="s">
        <v>401</v>
      </c>
      <c r="B2" s="401" t="s">
        <v>402</v>
      </c>
      <c r="C2" s="401"/>
      <c r="D2" s="401" t="s">
        <v>403</v>
      </c>
      <c r="E2" s="401" t="s">
        <v>404</v>
      </c>
      <c r="F2" s="401" t="s">
        <v>405</v>
      </c>
      <c r="G2" s="401" t="s">
        <v>406</v>
      </c>
    </row>
    <row r="3" spans="1:7" x14ac:dyDescent="0.35">
      <c r="A3" s="402" t="s">
        <v>407</v>
      </c>
      <c r="B3" s="402" t="s">
        <v>408</v>
      </c>
      <c r="C3" s="402"/>
      <c r="D3" s="402">
        <v>1</v>
      </c>
      <c r="E3" s="402">
        <v>0</v>
      </c>
      <c r="F3" s="402">
        <v>0</v>
      </c>
      <c r="G3" s="402">
        <v>0</v>
      </c>
    </row>
    <row r="4" spans="1:7" x14ac:dyDescent="0.35">
      <c r="A4" s="402" t="s">
        <v>409</v>
      </c>
      <c r="B4" s="402" t="s">
        <v>410</v>
      </c>
      <c r="C4" s="402"/>
      <c r="D4" s="402">
        <v>1</v>
      </c>
      <c r="E4" s="402">
        <v>0</v>
      </c>
      <c r="F4" s="402">
        <v>0</v>
      </c>
      <c r="G4" s="402">
        <v>0</v>
      </c>
    </row>
    <row r="5" spans="1:7" x14ac:dyDescent="0.35">
      <c r="A5" s="402" t="s">
        <v>411</v>
      </c>
      <c r="B5" s="402" t="s">
        <v>412</v>
      </c>
      <c r="C5" s="402"/>
      <c r="D5" s="402">
        <v>0</v>
      </c>
      <c r="E5" s="402">
        <v>0</v>
      </c>
      <c r="F5" s="402">
        <v>1</v>
      </c>
      <c r="G5" s="402">
        <v>0</v>
      </c>
    </row>
    <row r="6" spans="1:7" x14ac:dyDescent="0.35">
      <c r="A6" s="402" t="s">
        <v>413</v>
      </c>
      <c r="B6" s="402" t="s">
        <v>412</v>
      </c>
      <c r="C6" s="402"/>
      <c r="D6" s="402">
        <v>0</v>
      </c>
      <c r="E6" s="402">
        <v>1</v>
      </c>
      <c r="F6" s="402">
        <v>0</v>
      </c>
      <c r="G6" s="402">
        <v>0</v>
      </c>
    </row>
    <row r="7" spans="1:7" x14ac:dyDescent="0.35">
      <c r="A7" s="402" t="s">
        <v>414</v>
      </c>
      <c r="B7" s="402" t="s">
        <v>414</v>
      </c>
      <c r="C7" s="402"/>
      <c r="D7" s="402">
        <v>0</v>
      </c>
      <c r="E7" s="402">
        <v>1</v>
      </c>
      <c r="F7" s="402">
        <v>1</v>
      </c>
      <c r="G7" s="402">
        <v>0</v>
      </c>
    </row>
    <row r="8" spans="1:7" x14ac:dyDescent="0.35">
      <c r="A8" s="402" t="s">
        <v>415</v>
      </c>
      <c r="B8" s="402" t="s">
        <v>415</v>
      </c>
      <c r="C8" s="402"/>
      <c r="D8" s="402">
        <v>0</v>
      </c>
      <c r="E8" s="402">
        <v>1</v>
      </c>
      <c r="F8" s="402">
        <v>1</v>
      </c>
      <c r="G8" s="402">
        <v>1</v>
      </c>
    </row>
    <row r="9" spans="1:7" x14ac:dyDescent="0.35">
      <c r="A9" s="402" t="s">
        <v>416</v>
      </c>
      <c r="B9" s="402" t="s">
        <v>416</v>
      </c>
      <c r="C9" s="402"/>
      <c r="D9" s="402">
        <v>0</v>
      </c>
      <c r="E9" s="402">
        <v>0</v>
      </c>
      <c r="F9" s="402">
        <v>1</v>
      </c>
      <c r="G9" s="402">
        <v>0</v>
      </c>
    </row>
    <row r="10" spans="1:7" x14ac:dyDescent="0.35">
      <c r="A10" s="402" t="s">
        <v>417</v>
      </c>
      <c r="B10" s="402" t="s">
        <v>417</v>
      </c>
      <c r="C10" s="402"/>
      <c r="D10" s="402">
        <v>0</v>
      </c>
      <c r="E10" s="402">
        <v>1</v>
      </c>
      <c r="F10" s="402">
        <v>1</v>
      </c>
      <c r="G10" s="402">
        <v>1</v>
      </c>
    </row>
    <row r="11" spans="1:7" x14ac:dyDescent="0.35">
      <c r="A11" s="402" t="s">
        <v>418</v>
      </c>
      <c r="B11" s="402" t="s">
        <v>418</v>
      </c>
      <c r="C11" s="402"/>
      <c r="D11" s="402">
        <v>0</v>
      </c>
      <c r="E11" s="402">
        <v>1</v>
      </c>
      <c r="F11" s="402">
        <v>1</v>
      </c>
      <c r="G11" s="402">
        <v>1</v>
      </c>
    </row>
    <row r="12" spans="1:7" x14ac:dyDescent="0.35">
      <c r="A12" s="402" t="s">
        <v>419</v>
      </c>
      <c r="B12" s="402" t="s">
        <v>419</v>
      </c>
      <c r="C12" s="402"/>
      <c r="D12" s="402">
        <v>0</v>
      </c>
      <c r="E12" s="402">
        <v>1</v>
      </c>
      <c r="F12" s="402">
        <v>1</v>
      </c>
      <c r="G12" s="402">
        <v>1</v>
      </c>
    </row>
    <row r="13" spans="1:7" x14ac:dyDescent="0.35">
      <c r="A13" s="402" t="s">
        <v>420</v>
      </c>
      <c r="B13" s="402" t="s">
        <v>420</v>
      </c>
      <c r="C13" s="402"/>
      <c r="D13" s="402">
        <v>0</v>
      </c>
      <c r="E13" s="402">
        <v>0</v>
      </c>
      <c r="F13" s="402">
        <v>0</v>
      </c>
      <c r="G13" s="402">
        <v>1</v>
      </c>
    </row>
    <row r="14" spans="1:7" x14ac:dyDescent="0.35">
      <c r="A14" s="402" t="s">
        <v>421</v>
      </c>
      <c r="B14" s="402" t="s">
        <v>421</v>
      </c>
      <c r="C14" s="402"/>
      <c r="D14" s="402">
        <v>0</v>
      </c>
      <c r="E14" s="402">
        <v>1</v>
      </c>
      <c r="F14" s="402">
        <v>1</v>
      </c>
      <c r="G14" s="402">
        <v>1</v>
      </c>
    </row>
    <row r="15" spans="1:7" x14ac:dyDescent="0.35">
      <c r="A15" s="402" t="s">
        <v>422</v>
      </c>
      <c r="B15" s="402" t="s">
        <v>423</v>
      </c>
      <c r="C15" s="402"/>
      <c r="D15" s="402">
        <v>0</v>
      </c>
      <c r="E15" s="402">
        <v>1</v>
      </c>
      <c r="F15" s="402">
        <v>0</v>
      </c>
      <c r="G15" s="402">
        <v>0</v>
      </c>
    </row>
    <row r="16" spans="1:7" x14ac:dyDescent="0.35">
      <c r="A16" s="402" t="s">
        <v>424</v>
      </c>
      <c r="B16" s="402" t="s">
        <v>425</v>
      </c>
      <c r="C16" s="402"/>
      <c r="D16" s="402">
        <v>1</v>
      </c>
      <c r="E16" s="402">
        <v>0</v>
      </c>
      <c r="F16" s="402">
        <v>0</v>
      </c>
      <c r="G16" s="402">
        <v>0</v>
      </c>
    </row>
    <row r="17" spans="1:7" x14ac:dyDescent="0.35">
      <c r="A17" s="402" t="s">
        <v>426</v>
      </c>
      <c r="B17" s="402" t="s">
        <v>427</v>
      </c>
      <c r="C17" s="402"/>
      <c r="D17" s="402">
        <v>1</v>
      </c>
      <c r="E17" s="402">
        <v>0</v>
      </c>
      <c r="F17" s="402">
        <v>0</v>
      </c>
      <c r="G17" s="402">
        <v>0</v>
      </c>
    </row>
    <row r="18" spans="1:7" x14ac:dyDescent="0.35">
      <c r="A18" s="402" t="s">
        <v>428</v>
      </c>
      <c r="B18" s="402" t="s">
        <v>110</v>
      </c>
      <c r="C18" s="402"/>
      <c r="D18" s="402">
        <v>1</v>
      </c>
      <c r="E18" s="402">
        <v>0</v>
      </c>
      <c r="F18" s="402">
        <v>0</v>
      </c>
      <c r="G18" s="402">
        <v>0</v>
      </c>
    </row>
    <row r="19" spans="1:7" x14ac:dyDescent="0.35">
      <c r="A19" s="402" t="s">
        <v>429</v>
      </c>
      <c r="B19" s="402" t="s">
        <v>430</v>
      </c>
      <c r="C19" s="402"/>
      <c r="D19" s="402">
        <v>1</v>
      </c>
      <c r="E19" s="402">
        <v>0</v>
      </c>
      <c r="F19" s="402">
        <v>0</v>
      </c>
      <c r="G19" s="402">
        <v>0</v>
      </c>
    </row>
    <row r="20" spans="1:7" x14ac:dyDescent="0.35">
      <c r="A20" s="402" t="s">
        <v>431</v>
      </c>
      <c r="B20" s="402" t="s">
        <v>432</v>
      </c>
      <c r="C20" s="402"/>
      <c r="D20" s="402">
        <v>0</v>
      </c>
      <c r="E20" s="402">
        <v>0</v>
      </c>
      <c r="F20" s="402">
        <v>0</v>
      </c>
      <c r="G20" s="402">
        <v>0</v>
      </c>
    </row>
    <row r="21" spans="1:7" x14ac:dyDescent="0.35">
      <c r="A21" s="402" t="s">
        <v>433</v>
      </c>
      <c r="B21" s="402" t="s">
        <v>434</v>
      </c>
      <c r="C21" s="402"/>
      <c r="D21" s="402">
        <v>0</v>
      </c>
      <c r="E21" s="402">
        <v>0</v>
      </c>
      <c r="F21" s="402">
        <v>0</v>
      </c>
      <c r="G21" s="402">
        <v>0</v>
      </c>
    </row>
    <row r="22" spans="1:7" x14ac:dyDescent="0.35">
      <c r="A22" s="402" t="s">
        <v>435</v>
      </c>
      <c r="B22" s="402" t="s">
        <v>434</v>
      </c>
      <c r="C22" s="402"/>
      <c r="D22" s="402">
        <v>0</v>
      </c>
      <c r="E22" s="402">
        <v>0</v>
      </c>
      <c r="F22" s="402">
        <v>0</v>
      </c>
      <c r="G22" s="402">
        <v>0</v>
      </c>
    </row>
    <row r="23" spans="1:7" x14ac:dyDescent="0.35">
      <c r="A23" s="402" t="s">
        <v>436</v>
      </c>
      <c r="B23" s="402" t="s">
        <v>437</v>
      </c>
      <c r="C23" s="402"/>
      <c r="D23" s="402">
        <v>0</v>
      </c>
      <c r="E23" s="402">
        <v>0</v>
      </c>
      <c r="F23" s="402">
        <v>0</v>
      </c>
      <c r="G23" s="402">
        <v>0</v>
      </c>
    </row>
    <row r="24" spans="1:7" x14ac:dyDescent="0.35">
      <c r="A24" s="402" t="s">
        <v>438</v>
      </c>
      <c r="B24" s="402" t="s">
        <v>439</v>
      </c>
      <c r="C24" s="402"/>
      <c r="D24" s="402">
        <v>0</v>
      </c>
      <c r="E24" s="402">
        <v>0</v>
      </c>
      <c r="F24" s="402">
        <v>0</v>
      </c>
      <c r="G24" s="402">
        <v>0</v>
      </c>
    </row>
    <row r="25" spans="1:7" x14ac:dyDescent="0.35">
      <c r="A25" s="402" t="s">
        <v>440</v>
      </c>
      <c r="B25" s="402" t="s">
        <v>439</v>
      </c>
      <c r="C25" s="402"/>
      <c r="D25" s="402">
        <v>0</v>
      </c>
      <c r="E25" s="402">
        <v>0</v>
      </c>
      <c r="F25" s="402">
        <v>0</v>
      </c>
      <c r="G25" s="402">
        <v>0</v>
      </c>
    </row>
    <row r="26" spans="1:7" x14ac:dyDescent="0.35">
      <c r="A26" s="402" t="s">
        <v>441</v>
      </c>
      <c r="B26" s="402" t="s">
        <v>442</v>
      </c>
      <c r="C26" s="402"/>
      <c r="D26" s="402">
        <v>0</v>
      </c>
      <c r="E26" s="402">
        <v>0</v>
      </c>
      <c r="F26" s="402">
        <v>0</v>
      </c>
      <c r="G26" s="402">
        <v>0</v>
      </c>
    </row>
    <row r="27" spans="1:7" x14ac:dyDescent="0.35">
      <c r="A27" s="402" t="s">
        <v>443</v>
      </c>
      <c r="B27" s="402" t="s">
        <v>442</v>
      </c>
      <c r="C27" s="402"/>
      <c r="D27" s="402">
        <v>0</v>
      </c>
      <c r="E27" s="402">
        <v>0</v>
      </c>
      <c r="F27" s="402">
        <v>0</v>
      </c>
      <c r="G27" s="402">
        <v>0</v>
      </c>
    </row>
    <row r="28" spans="1:7" x14ac:dyDescent="0.35">
      <c r="A28" s="402" t="s">
        <v>444</v>
      </c>
      <c r="B28" s="402" t="s">
        <v>445</v>
      </c>
      <c r="C28" s="402"/>
      <c r="D28" s="402">
        <v>1</v>
      </c>
      <c r="E28" s="402">
        <v>0</v>
      </c>
      <c r="F28" s="402">
        <v>0</v>
      </c>
      <c r="G28" s="402">
        <v>0</v>
      </c>
    </row>
    <row r="29" spans="1:7" x14ac:dyDescent="0.35">
      <c r="A29" s="402" t="s">
        <v>446</v>
      </c>
      <c r="B29" s="402" t="s">
        <v>445</v>
      </c>
      <c r="C29" s="402"/>
      <c r="D29" s="402">
        <v>0</v>
      </c>
      <c r="E29" s="402">
        <v>0</v>
      </c>
      <c r="F29" s="402">
        <v>0</v>
      </c>
      <c r="G29" s="402">
        <v>0</v>
      </c>
    </row>
    <row r="30" spans="1:7" x14ac:dyDescent="0.35">
      <c r="A30" s="403" t="s">
        <v>447</v>
      </c>
      <c r="B30" s="402"/>
      <c r="C30" s="402"/>
      <c r="D30" s="403">
        <f>SUM(D3:D29)</f>
        <v>7</v>
      </c>
      <c r="E30" s="403">
        <f>SUM(E3:E29)</f>
        <v>8</v>
      </c>
      <c r="F30" s="403">
        <f>SUM(F3:F29)</f>
        <v>8</v>
      </c>
      <c r="G30" s="403">
        <f>SUM(G3:G29)</f>
        <v>6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AABB-849E-480C-A44F-CFEB5074FD13}">
  <sheetPr>
    <tabColor theme="4" tint="-0.249977111117893"/>
  </sheetPr>
  <dimension ref="B1:M4"/>
  <sheetViews>
    <sheetView workbookViewId="0">
      <selection sqref="A1:J13"/>
    </sheetView>
  </sheetViews>
  <sheetFormatPr defaultRowHeight="15" x14ac:dyDescent="0.35"/>
  <cols>
    <col min="2" max="2" width="13.36328125" customWidth="1"/>
    <col min="3" max="3" width="23.54296875" customWidth="1"/>
    <col min="4" max="4" width="15.81640625" customWidth="1"/>
    <col min="5" max="5" width="11.81640625" customWidth="1"/>
    <col min="8" max="8" width="16.6328125" customWidth="1"/>
    <col min="10" max="10" width="17.453125" customWidth="1"/>
    <col min="11" max="11" width="12.08984375" customWidth="1"/>
    <col min="12" max="12" width="10.453125" bestFit="1" customWidth="1"/>
  </cols>
  <sheetData>
    <row r="1" spans="2:13" ht="54.6" customHeight="1" thickBot="1" x14ac:dyDescent="0.55000000000000004">
      <c r="B1" s="257" t="s">
        <v>0</v>
      </c>
      <c r="C1" s="258"/>
      <c r="D1" s="258"/>
      <c r="E1" s="257"/>
      <c r="F1" s="257"/>
      <c r="G1" s="259"/>
      <c r="H1" s="259"/>
      <c r="I1" s="259"/>
      <c r="J1" s="260"/>
      <c r="K1" s="261"/>
      <c r="L1" s="260"/>
    </row>
    <row r="2" spans="2:13" s="1" customFormat="1" ht="17.100000000000001" customHeight="1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9" t="s">
        <v>9</v>
      </c>
      <c r="K2" s="262" t="s">
        <v>10</v>
      </c>
      <c r="L2" s="9" t="s">
        <v>11</v>
      </c>
      <c r="M2" s="1" t="s">
        <v>448</v>
      </c>
    </row>
    <row r="3" spans="2:13" s="2" customFormat="1" ht="24.6" customHeight="1" x14ac:dyDescent="0.35">
      <c r="B3" s="263" t="s">
        <v>449</v>
      </c>
      <c r="C3" s="260" t="s">
        <v>450</v>
      </c>
      <c r="D3" s="264" t="s">
        <v>451</v>
      </c>
      <c r="E3" s="263" t="s">
        <v>452</v>
      </c>
      <c r="F3" s="263" t="s">
        <v>16</v>
      </c>
      <c r="G3" s="263" t="s">
        <v>25</v>
      </c>
      <c r="H3" s="263" t="s">
        <v>453</v>
      </c>
      <c r="I3" s="263" t="s">
        <v>451</v>
      </c>
      <c r="J3" s="263" t="s">
        <v>454</v>
      </c>
      <c r="K3" s="263"/>
      <c r="L3" s="265">
        <v>2749</v>
      </c>
    </row>
    <row r="4" spans="2:13" x14ac:dyDescent="0.35">
      <c r="B4" s="263" t="s">
        <v>455</v>
      </c>
      <c r="C4" s="263" t="s">
        <v>456</v>
      </c>
      <c r="D4" s="264" t="s">
        <v>451</v>
      </c>
      <c r="E4" s="263" t="s">
        <v>452</v>
      </c>
      <c r="F4" s="263" t="s">
        <v>16</v>
      </c>
      <c r="G4" s="263" t="s">
        <v>25</v>
      </c>
      <c r="H4" s="263" t="s">
        <v>453</v>
      </c>
      <c r="I4" s="263" t="s">
        <v>451</v>
      </c>
      <c r="J4" s="263" t="s">
        <v>454</v>
      </c>
      <c r="K4" s="260"/>
      <c r="L4" s="266">
        <v>2749</v>
      </c>
    </row>
  </sheetData>
  <dataValidations count="5">
    <dataValidation allowBlank="1" showInputMessage="1" showErrorMessage="1" prompt="Esta planilha possui uma tabela que fornece dados para as planilhas da lista de inventário e da lista de seleção de inventário. Um link de navegação para a planilha de lista de inventário está na célula B2" sqref="A1" xr:uid="{8ABAF088-3FD2-4BDB-A8B4-7D5ACDD44A3C}"/>
    <dataValidation allowBlank="1" showInputMessage="1" showErrorMessage="1" prompt="Inserir o número do compartimento nesta coluna" sqref="B2:D2" xr:uid="{D761C1FA-6A69-4ABB-85A3-2B62EEA64383}"/>
    <dataValidation allowBlank="1" showInputMessage="1" showErrorMessage="1" prompt="Insira o local do compartimento nesta coluna" sqref="G2" xr:uid="{8E52EF8F-C422-4ADD-BD74-438BF884D7E9}"/>
    <dataValidation allowBlank="1" showInputMessage="1" showErrorMessage="1" prompt="Insira a largura do compartimento nesta coluna" sqref="H2:J2" xr:uid="{8F61C4E8-F4DA-4E56-B32F-E19A4D84A2B2}"/>
    <dataValidation allowBlank="1" showInputMessage="1" showErrorMessage="1" prompt="Insira uma descrição do compartimento nesta coluna" sqref="E2:F2" xr:uid="{86A2B3E0-8073-477B-A03A-E0C7306966EF}"/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7F63-67D2-411A-87FF-9EB0BF85DA5C}">
  <dimension ref="A1:A19"/>
  <sheetViews>
    <sheetView workbookViewId="0">
      <selection activeCell="C9" sqref="C9"/>
    </sheetView>
  </sheetViews>
  <sheetFormatPr defaultRowHeight="15" x14ac:dyDescent="0.35"/>
  <sheetData>
    <row r="1" spans="1:1" x14ac:dyDescent="0.35">
      <c r="A1" s="34" t="s">
        <v>26</v>
      </c>
    </row>
    <row r="2" spans="1:1" x14ac:dyDescent="0.35">
      <c r="A2" t="s">
        <v>457</v>
      </c>
    </row>
    <row r="3" spans="1:1" x14ac:dyDescent="0.35">
      <c r="A3" t="s">
        <v>458</v>
      </c>
    </row>
    <row r="4" spans="1:1" x14ac:dyDescent="0.35">
      <c r="A4" t="s">
        <v>459</v>
      </c>
    </row>
    <row r="5" spans="1:1" x14ac:dyDescent="0.35">
      <c r="A5" t="s">
        <v>460</v>
      </c>
    </row>
    <row r="7" spans="1:1" x14ac:dyDescent="0.35">
      <c r="A7" s="34" t="s">
        <v>142</v>
      </c>
    </row>
    <row r="8" spans="1:1" x14ac:dyDescent="0.35">
      <c r="A8" t="s">
        <v>461</v>
      </c>
    </row>
    <row r="9" spans="1:1" x14ac:dyDescent="0.35">
      <c r="A9" s="34" t="s">
        <v>462</v>
      </c>
    </row>
    <row r="10" spans="1:1" x14ac:dyDescent="0.35">
      <c r="A10" s="34" t="s">
        <v>459</v>
      </c>
    </row>
    <row r="11" spans="1:1" x14ac:dyDescent="0.35">
      <c r="A11" s="34" t="s">
        <v>460</v>
      </c>
    </row>
    <row r="12" spans="1:1" x14ac:dyDescent="0.35">
      <c r="A12" s="34"/>
    </row>
    <row r="14" spans="1:1" x14ac:dyDescent="0.35">
      <c r="A14" s="34"/>
    </row>
    <row r="15" spans="1:1" x14ac:dyDescent="0.35">
      <c r="A15" s="34" t="s">
        <v>463</v>
      </c>
    </row>
    <row r="16" spans="1:1" x14ac:dyDescent="0.35">
      <c r="A16" t="s">
        <v>464</v>
      </c>
    </row>
    <row r="17" spans="1:1" x14ac:dyDescent="0.35">
      <c r="A17" s="34" t="s">
        <v>465</v>
      </c>
    </row>
    <row r="18" spans="1:1" x14ac:dyDescent="0.35">
      <c r="A18" s="34" t="s">
        <v>459</v>
      </c>
    </row>
    <row r="19" spans="1:1" x14ac:dyDescent="0.35">
      <c r="A19" s="34" t="s">
        <v>460</v>
      </c>
    </row>
  </sheetData>
  <phoneticPr fontId="25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0F53-6FE7-44A6-B2A1-43060592C63C}">
  <sheetPr>
    <tabColor theme="4"/>
  </sheetPr>
  <dimension ref="A1:F31"/>
  <sheetViews>
    <sheetView workbookViewId="0">
      <selection activeCell="B40" sqref="B40"/>
    </sheetView>
  </sheetViews>
  <sheetFormatPr defaultRowHeight="15" x14ac:dyDescent="0.35"/>
  <cols>
    <col min="1" max="1" width="15.1796875" style="2" customWidth="1"/>
    <col min="2" max="2" width="13.453125" customWidth="1"/>
    <col min="4" max="4" width="13.81640625" customWidth="1"/>
    <col min="5" max="5" width="12" customWidth="1"/>
    <col min="6" max="6" width="19.453125" customWidth="1"/>
  </cols>
  <sheetData>
    <row r="1" spans="1:6" ht="50.25" customHeight="1" x14ac:dyDescent="0.35">
      <c r="A1" s="49" t="s">
        <v>466</v>
      </c>
      <c r="B1" s="8"/>
      <c r="C1" s="8"/>
      <c r="D1" s="8"/>
      <c r="E1" s="4"/>
    </row>
    <row r="2" spans="1:6" s="11" customFormat="1" x14ac:dyDescent="0.3">
      <c r="A2" s="25" t="s">
        <v>2</v>
      </c>
      <c r="B2" s="25" t="s">
        <v>3</v>
      </c>
      <c r="C2" s="25" t="s">
        <v>5</v>
      </c>
      <c r="D2" s="25" t="s">
        <v>6</v>
      </c>
      <c r="E2" s="25" t="s">
        <v>8</v>
      </c>
      <c r="F2" s="26" t="s">
        <v>467</v>
      </c>
    </row>
    <row r="3" spans="1:6" x14ac:dyDescent="0.35">
      <c r="A3" s="23" t="s">
        <v>468</v>
      </c>
      <c r="B3" s="27" t="s">
        <v>188</v>
      </c>
      <c r="C3" s="5" t="s">
        <v>469</v>
      </c>
      <c r="F3" s="2">
        <v>4</v>
      </c>
    </row>
    <row r="4" spans="1:6" x14ac:dyDescent="0.35">
      <c r="A4" s="28" t="s">
        <v>195</v>
      </c>
      <c r="B4" s="28" t="s">
        <v>79</v>
      </c>
      <c r="C4" s="5" t="s">
        <v>16</v>
      </c>
    </row>
    <row r="5" spans="1:6" x14ac:dyDescent="0.35">
      <c r="A5" s="28" t="s">
        <v>470</v>
      </c>
      <c r="B5" s="28" t="s">
        <v>79</v>
      </c>
      <c r="C5" s="5" t="s">
        <v>469</v>
      </c>
    </row>
    <row r="6" spans="1:6" ht="25.2" x14ac:dyDescent="0.35">
      <c r="A6" s="29" t="s">
        <v>147</v>
      </c>
      <c r="B6" s="29" t="s">
        <v>148</v>
      </c>
      <c r="C6" s="5" t="s">
        <v>469</v>
      </c>
    </row>
    <row r="7" spans="1:6" x14ac:dyDescent="0.35">
      <c r="A7" s="24" t="s">
        <v>471</v>
      </c>
      <c r="B7" s="7" t="s">
        <v>137</v>
      </c>
      <c r="C7" s="5" t="s">
        <v>472</v>
      </c>
    </row>
    <row r="8" spans="1:6" x14ac:dyDescent="0.35">
      <c r="A8" s="7" t="s">
        <v>473</v>
      </c>
      <c r="B8" s="7" t="s">
        <v>137</v>
      </c>
      <c r="C8" s="5" t="s">
        <v>472</v>
      </c>
    </row>
    <row r="9" spans="1:6" x14ac:dyDescent="0.35">
      <c r="A9" s="29" t="s">
        <v>474</v>
      </c>
      <c r="B9" s="29" t="s">
        <v>110</v>
      </c>
      <c r="C9" s="5" t="s">
        <v>472</v>
      </c>
    </row>
    <row r="10" spans="1:6" x14ac:dyDescent="0.35">
      <c r="A10" s="23" t="s">
        <v>151</v>
      </c>
      <c r="B10" s="7" t="s">
        <v>145</v>
      </c>
      <c r="C10" s="5" t="s">
        <v>472</v>
      </c>
    </row>
    <row r="11" spans="1:6" x14ac:dyDescent="0.35">
      <c r="A11" s="28" t="s">
        <v>475</v>
      </c>
      <c r="B11" s="31" t="s">
        <v>318</v>
      </c>
      <c r="C11" s="5" t="s">
        <v>476</v>
      </c>
    </row>
    <row r="12" spans="1:6" x14ac:dyDescent="0.35">
      <c r="A12" s="31" t="s">
        <v>166</v>
      </c>
      <c r="B12" s="31" t="s">
        <v>167</v>
      </c>
      <c r="C12" s="5" t="s">
        <v>472</v>
      </c>
    </row>
    <row r="13" spans="1:6" x14ac:dyDescent="0.35">
      <c r="A13" s="29" t="s">
        <v>118</v>
      </c>
      <c r="B13" s="29" t="s">
        <v>79</v>
      </c>
      <c r="C13" s="5" t="s">
        <v>477</v>
      </c>
    </row>
    <row r="14" spans="1:6" ht="25.2" x14ac:dyDescent="0.35">
      <c r="A14" s="30" t="s">
        <v>478</v>
      </c>
      <c r="B14" s="29" t="s">
        <v>266</v>
      </c>
      <c r="C14" s="5" t="s">
        <v>479</v>
      </c>
    </row>
    <row r="15" spans="1:6" x14ac:dyDescent="0.35">
      <c r="A15" s="23" t="s">
        <v>480</v>
      </c>
      <c r="B15" s="23" t="s">
        <v>266</v>
      </c>
      <c r="C15" s="5" t="s">
        <v>481</v>
      </c>
    </row>
    <row r="16" spans="1:6" x14ac:dyDescent="0.35">
      <c r="A16" s="24" t="s">
        <v>482</v>
      </c>
      <c r="B16" s="7" t="s">
        <v>184</v>
      </c>
      <c r="C16" s="5" t="s">
        <v>483</v>
      </c>
    </row>
    <row r="17" spans="1:4" ht="25.2" x14ac:dyDescent="0.35">
      <c r="A17" s="31" t="s">
        <v>62</v>
      </c>
      <c r="B17" s="31" t="s">
        <v>63</v>
      </c>
      <c r="C17" s="5" t="s">
        <v>484</v>
      </c>
    </row>
    <row r="18" spans="1:4" x14ac:dyDescent="0.35">
      <c r="A18" s="29" t="s">
        <v>153</v>
      </c>
      <c r="B18" s="29" t="s">
        <v>67</v>
      </c>
      <c r="C18" s="5" t="s">
        <v>485</v>
      </c>
    </row>
    <row r="19" spans="1:4" ht="25.2" x14ac:dyDescent="0.35">
      <c r="A19" s="32" t="s">
        <v>486</v>
      </c>
      <c r="B19" s="32" t="s">
        <v>35</v>
      </c>
      <c r="C19" s="5" t="s">
        <v>472</v>
      </c>
    </row>
    <row r="20" spans="1:4" ht="25.2" x14ac:dyDescent="0.35">
      <c r="A20" s="31" t="s">
        <v>487</v>
      </c>
      <c r="B20" s="31" t="s">
        <v>488</v>
      </c>
      <c r="C20" s="5" t="s">
        <v>472</v>
      </c>
    </row>
    <row r="21" spans="1:4" ht="25.2" x14ac:dyDescent="0.35">
      <c r="A21" s="30" t="s">
        <v>489</v>
      </c>
      <c r="B21" s="30" t="s">
        <v>490</v>
      </c>
      <c r="C21" s="5" t="s">
        <v>472</v>
      </c>
    </row>
    <row r="22" spans="1:4" x14ac:dyDescent="0.35">
      <c r="A22" s="23" t="s">
        <v>491</v>
      </c>
      <c r="B22" s="32" t="s">
        <v>145</v>
      </c>
      <c r="C22" s="5" t="s">
        <v>492</v>
      </c>
    </row>
    <row r="23" spans="1:4" x14ac:dyDescent="0.35">
      <c r="A23" s="5" t="s">
        <v>155</v>
      </c>
      <c r="B23" s="5" t="s">
        <v>156</v>
      </c>
      <c r="C23" s="5" t="s">
        <v>472</v>
      </c>
    </row>
    <row r="24" spans="1:4" x14ac:dyDescent="0.35">
      <c r="A24" s="5" t="s">
        <v>236</v>
      </c>
      <c r="B24" s="5" t="s">
        <v>493</v>
      </c>
      <c r="C24" s="5" t="s">
        <v>472</v>
      </c>
    </row>
    <row r="25" spans="1:4" x14ac:dyDescent="0.35">
      <c r="A25" s="5" t="s">
        <v>494</v>
      </c>
      <c r="B25" s="5" t="s">
        <v>493</v>
      </c>
      <c r="C25" s="5" t="s">
        <v>472</v>
      </c>
    </row>
    <row r="26" spans="1:4" x14ac:dyDescent="0.35">
      <c r="A26" s="5" t="s">
        <v>495</v>
      </c>
      <c r="B26" s="5" t="s">
        <v>496</v>
      </c>
      <c r="C26" s="5" t="s">
        <v>472</v>
      </c>
    </row>
    <row r="27" spans="1:4" x14ac:dyDescent="0.35">
      <c r="A27" s="5" t="s">
        <v>203</v>
      </c>
      <c r="B27" s="5" t="s">
        <v>181</v>
      </c>
      <c r="C27" s="5" t="s">
        <v>472</v>
      </c>
    </row>
    <row r="28" spans="1:4" x14ac:dyDescent="0.35">
      <c r="A28" s="5" t="s">
        <v>497</v>
      </c>
      <c r="B28" s="5" t="s">
        <v>115</v>
      </c>
      <c r="C28" s="5" t="s">
        <v>472</v>
      </c>
      <c r="D28" s="5" t="s">
        <v>498</v>
      </c>
    </row>
    <row r="29" spans="1:4" x14ac:dyDescent="0.35">
      <c r="A29" s="5" t="s">
        <v>45</v>
      </c>
      <c r="B29" s="5" t="s">
        <v>115</v>
      </c>
      <c r="C29" s="5" t="s">
        <v>472</v>
      </c>
      <c r="D29" s="5" t="s">
        <v>498</v>
      </c>
    </row>
    <row r="30" spans="1:4" x14ac:dyDescent="0.35">
      <c r="A30" s="5" t="s">
        <v>499</v>
      </c>
      <c r="B30" s="5" t="s">
        <v>115</v>
      </c>
      <c r="C30" s="5" t="s">
        <v>472</v>
      </c>
      <c r="D30" s="5" t="s">
        <v>498</v>
      </c>
    </row>
    <row r="31" spans="1:4" x14ac:dyDescent="0.35">
      <c r="A31" s="2" t="s">
        <v>134</v>
      </c>
      <c r="B31" s="5" t="s">
        <v>72</v>
      </c>
      <c r="C31" s="5" t="s">
        <v>472</v>
      </c>
    </row>
  </sheetData>
  <phoneticPr fontId="25" type="noConversion"/>
  <dataValidations count="4">
    <dataValidation allowBlank="1" showInputMessage="1" showErrorMessage="1" prompt="Insira o local do compartimento nesta coluna" sqref="D2" xr:uid="{F9DFBA5A-E2A1-4FCF-B7EA-7D6AD0E286F2}"/>
    <dataValidation allowBlank="1" showInputMessage="1" showErrorMessage="1" prompt="Inserir o número do compartimento nesta coluna" sqref="A2:B2" xr:uid="{EDF67B13-1B5C-4BC1-9061-75CD2467FACC}"/>
    <dataValidation allowBlank="1" showInputMessage="1" showErrorMessage="1" prompt="Insira uma descrição do compartimento nesta coluna" sqref="C2:D2" xr:uid="{D9669504-1EAF-4574-8D16-9A9625A62EEF}"/>
    <dataValidation allowBlank="1" showInputMessage="1" showErrorMessage="1" prompt="Insira a largura do compartimento nesta coluna" sqref="E2:F2" xr:uid="{6AF5579E-F1E9-4539-AB4A-4808D293844B}"/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F780-9CC7-4690-B021-D89B0EBDC00D}">
  <sheetPr>
    <tabColor theme="4" tint="-0.499984740745262"/>
  </sheetPr>
  <dimension ref="A1:H7"/>
  <sheetViews>
    <sheetView workbookViewId="0">
      <selection activeCell="E22" sqref="E22"/>
    </sheetView>
  </sheetViews>
  <sheetFormatPr defaultRowHeight="15" x14ac:dyDescent="0.35"/>
  <cols>
    <col min="1" max="1" width="24.90625" customWidth="1"/>
    <col min="2" max="2" width="12.90625" customWidth="1"/>
    <col min="3" max="3" width="15.81640625" customWidth="1"/>
    <col min="4" max="4" width="10.6328125" customWidth="1"/>
    <col min="5" max="5" width="54.453125" customWidth="1"/>
    <col min="6" max="6" width="11.90625" customWidth="1"/>
  </cols>
  <sheetData>
    <row r="1" spans="1:8" ht="52.5" customHeight="1" x14ac:dyDescent="0.35">
      <c r="A1" s="8" t="s">
        <v>500</v>
      </c>
      <c r="B1" s="8"/>
      <c r="C1" s="8"/>
      <c r="D1" s="8"/>
      <c r="E1" s="8"/>
      <c r="F1" s="4"/>
      <c r="G1" s="4"/>
      <c r="H1" s="4"/>
    </row>
    <row r="2" spans="1:8" s="11" customFormat="1" x14ac:dyDescent="0.35">
      <c r="A2" s="11" t="s">
        <v>501</v>
      </c>
      <c r="B2" s="11" t="s">
        <v>502</v>
      </c>
      <c r="C2" s="11" t="s">
        <v>6</v>
      </c>
      <c r="D2" s="11" t="s">
        <v>503</v>
      </c>
      <c r="E2" s="11" t="s">
        <v>504</v>
      </c>
      <c r="F2" s="11" t="s">
        <v>505</v>
      </c>
      <c r="G2" s="11" t="s">
        <v>11</v>
      </c>
    </row>
    <row r="3" spans="1:8" x14ac:dyDescent="0.35">
      <c r="A3" t="s">
        <v>115</v>
      </c>
      <c r="B3" t="s">
        <v>506</v>
      </c>
      <c r="C3" t="s">
        <v>507</v>
      </c>
      <c r="D3" t="s">
        <v>508</v>
      </c>
      <c r="E3" t="s">
        <v>509</v>
      </c>
      <c r="F3" t="s">
        <v>510</v>
      </c>
    </row>
    <row r="4" spans="1:8" ht="16.2" x14ac:dyDescent="0.35">
      <c r="A4" t="s">
        <v>115</v>
      </c>
      <c r="B4" t="s">
        <v>506</v>
      </c>
      <c r="C4" s="13" t="s">
        <v>511</v>
      </c>
      <c r="D4" t="s">
        <v>512</v>
      </c>
      <c r="E4" t="s">
        <v>513</v>
      </c>
      <c r="F4" t="s">
        <v>510</v>
      </c>
    </row>
    <row r="5" spans="1:8" x14ac:dyDescent="0.35">
      <c r="A5" t="s">
        <v>514</v>
      </c>
      <c r="B5" t="s">
        <v>506</v>
      </c>
      <c r="C5" t="s">
        <v>515</v>
      </c>
      <c r="D5" t="s">
        <v>516</v>
      </c>
      <c r="E5" t="s">
        <v>517</v>
      </c>
      <c r="F5" t="s">
        <v>510</v>
      </c>
    </row>
    <row r="6" spans="1:8" x14ac:dyDescent="0.35">
      <c r="A6" t="s">
        <v>518</v>
      </c>
      <c r="B6" t="s">
        <v>506</v>
      </c>
      <c r="C6" s="14" t="s">
        <v>519</v>
      </c>
      <c r="D6" t="s">
        <v>520</v>
      </c>
      <c r="E6" t="s">
        <v>521</v>
      </c>
      <c r="F6" t="s">
        <v>510</v>
      </c>
    </row>
    <row r="7" spans="1:8" x14ac:dyDescent="0.35">
      <c r="A7" t="s">
        <v>67</v>
      </c>
      <c r="B7" t="s">
        <v>506</v>
      </c>
      <c r="C7" t="s">
        <v>522</v>
      </c>
      <c r="D7" t="s">
        <v>523</v>
      </c>
      <c r="E7" t="s">
        <v>524</v>
      </c>
      <c r="F7" t="s">
        <v>510</v>
      </c>
    </row>
  </sheetData>
  <autoFilter ref="A2:K2" xr:uid="{4E3FF780-9CC7-4690-B021-D89B0EBDC00D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43AD-6756-417D-9E15-57B5F737CF58}">
  <sheetPr>
    <tabColor theme="4" tint="-0.499984740745262"/>
  </sheetPr>
  <dimension ref="A1:G46"/>
  <sheetViews>
    <sheetView workbookViewId="0">
      <selection activeCell="F6" sqref="F6"/>
    </sheetView>
  </sheetViews>
  <sheetFormatPr defaultRowHeight="15" x14ac:dyDescent="0.35"/>
  <cols>
    <col min="1" max="2" width="35.6328125" customWidth="1"/>
    <col min="3" max="3" width="17.54296875" customWidth="1"/>
    <col min="4" max="4" width="29.6328125" customWidth="1"/>
    <col min="5" max="5" width="40.36328125" customWidth="1"/>
    <col min="6" max="6" width="24.1796875" customWidth="1"/>
    <col min="7" max="7" width="21.6328125" customWidth="1"/>
    <col min="8" max="8" width="16.1796875" customWidth="1"/>
  </cols>
  <sheetData>
    <row r="1" spans="1:6" x14ac:dyDescent="0.35">
      <c r="A1" s="451" t="s">
        <v>525</v>
      </c>
      <c r="B1" s="451"/>
      <c r="C1" s="451"/>
      <c r="D1" s="451"/>
      <c r="E1" s="451"/>
    </row>
    <row r="2" spans="1:6" x14ac:dyDescent="0.35">
      <c r="A2" s="451"/>
      <c r="B2" s="451"/>
      <c r="C2" s="451"/>
      <c r="D2" s="451"/>
      <c r="E2" s="451"/>
    </row>
    <row r="3" spans="1:6" x14ac:dyDescent="0.35">
      <c r="A3" s="332" t="s">
        <v>526</v>
      </c>
      <c r="B3" s="332" t="s">
        <v>527</v>
      </c>
      <c r="C3" s="332" t="s">
        <v>528</v>
      </c>
      <c r="D3" s="332" t="s">
        <v>3</v>
      </c>
      <c r="E3" s="332" t="s">
        <v>529</v>
      </c>
      <c r="F3" s="332" t="s">
        <v>530</v>
      </c>
    </row>
    <row r="4" spans="1:6" x14ac:dyDescent="0.35">
      <c r="A4" s="426" t="s">
        <v>531</v>
      </c>
      <c r="B4" s="87" t="s">
        <v>532</v>
      </c>
      <c r="C4" s="87" t="s">
        <v>533</v>
      </c>
      <c r="D4" s="87" t="s">
        <v>534</v>
      </c>
      <c r="E4" s="87" t="s">
        <v>535</v>
      </c>
    </row>
    <row r="5" spans="1:6" x14ac:dyDescent="0.35">
      <c r="A5" s="2" t="s">
        <v>536</v>
      </c>
      <c r="B5" s="87">
        <v>3</v>
      </c>
      <c r="C5" s="87" t="s">
        <v>533</v>
      </c>
      <c r="D5" s="87" t="s">
        <v>534</v>
      </c>
      <c r="E5" s="87" t="s">
        <v>535</v>
      </c>
    </row>
    <row r="6" spans="1:6" x14ac:dyDescent="0.35">
      <c r="A6" s="2" t="s">
        <v>537</v>
      </c>
      <c r="B6" s="2">
        <v>1</v>
      </c>
      <c r="C6" s="87" t="s">
        <v>533</v>
      </c>
      <c r="D6" s="87" t="s">
        <v>534</v>
      </c>
      <c r="E6" s="2" t="s">
        <v>535</v>
      </c>
    </row>
    <row r="7" spans="1:6" x14ac:dyDescent="0.35">
      <c r="A7" s="2" t="s">
        <v>538</v>
      </c>
      <c r="B7" s="2">
        <v>5</v>
      </c>
      <c r="C7" s="2" t="s">
        <v>528</v>
      </c>
      <c r="D7" s="87" t="s">
        <v>534</v>
      </c>
      <c r="E7" s="87" t="s">
        <v>539</v>
      </c>
    </row>
    <row r="8" spans="1:6" x14ac:dyDescent="0.35">
      <c r="A8" s="2" t="s">
        <v>540</v>
      </c>
      <c r="B8" s="2">
        <v>3</v>
      </c>
      <c r="C8" s="2" t="s">
        <v>528</v>
      </c>
      <c r="D8" s="87" t="s">
        <v>534</v>
      </c>
      <c r="E8" s="87" t="s">
        <v>539</v>
      </c>
    </row>
    <row r="9" spans="1:6" x14ac:dyDescent="0.35">
      <c r="A9" s="2" t="s">
        <v>541</v>
      </c>
      <c r="B9" s="2">
        <v>19</v>
      </c>
      <c r="C9" s="2" t="s">
        <v>528</v>
      </c>
      <c r="D9" s="2" t="s">
        <v>542</v>
      </c>
      <c r="E9" s="87" t="s">
        <v>539</v>
      </c>
    </row>
    <row r="10" spans="1:6" x14ac:dyDescent="0.35">
      <c r="A10" s="2" t="s">
        <v>543</v>
      </c>
      <c r="B10" s="2">
        <v>19</v>
      </c>
      <c r="C10" s="2" t="s">
        <v>528</v>
      </c>
      <c r="D10" s="2" t="s">
        <v>542</v>
      </c>
      <c r="E10" s="87" t="s">
        <v>539</v>
      </c>
    </row>
    <row r="11" spans="1:6" x14ac:dyDescent="0.35">
      <c r="A11" s="2" t="s">
        <v>544</v>
      </c>
      <c r="B11" s="2">
        <v>3</v>
      </c>
      <c r="C11" s="2" t="s">
        <v>528</v>
      </c>
      <c r="D11" s="87" t="s">
        <v>534</v>
      </c>
      <c r="E11" s="87" t="s">
        <v>539</v>
      </c>
    </row>
    <row r="12" spans="1:6" x14ac:dyDescent="0.35">
      <c r="A12" s="2" t="s">
        <v>545</v>
      </c>
      <c r="B12" s="2">
        <v>3</v>
      </c>
      <c r="C12" s="2" t="s">
        <v>528</v>
      </c>
      <c r="D12" s="87" t="s">
        <v>534</v>
      </c>
      <c r="E12" s="87" t="s">
        <v>539</v>
      </c>
    </row>
    <row r="13" spans="1:6" x14ac:dyDescent="0.35">
      <c r="A13" s="2" t="s">
        <v>546</v>
      </c>
      <c r="B13" s="2">
        <v>2</v>
      </c>
      <c r="C13" s="2" t="s">
        <v>528</v>
      </c>
      <c r="D13" s="87" t="s">
        <v>534</v>
      </c>
      <c r="E13" s="2" t="s">
        <v>535</v>
      </c>
    </row>
    <row r="14" spans="1:6" x14ac:dyDescent="0.35">
      <c r="A14" s="2" t="s">
        <v>547</v>
      </c>
      <c r="B14" s="2">
        <v>3</v>
      </c>
      <c r="C14" s="2" t="s">
        <v>528</v>
      </c>
      <c r="D14" s="87" t="s">
        <v>534</v>
      </c>
      <c r="E14" s="2" t="s">
        <v>535</v>
      </c>
    </row>
    <row r="15" spans="1:6" x14ac:dyDescent="0.35">
      <c r="A15" s="2"/>
      <c r="B15" s="2"/>
      <c r="C15" s="2"/>
      <c r="D15" s="87"/>
      <c r="E15" s="2"/>
    </row>
    <row r="16" spans="1:6" x14ac:dyDescent="0.35">
      <c r="A16" s="2"/>
      <c r="B16" s="2"/>
      <c r="C16" s="2"/>
      <c r="D16" s="2"/>
    </row>
    <row r="17" spans="1:7" x14ac:dyDescent="0.35">
      <c r="A17" s="451" t="s">
        <v>548</v>
      </c>
      <c r="B17" s="451"/>
      <c r="C17" s="451"/>
      <c r="D17" s="451"/>
      <c r="E17" s="451" t="s">
        <v>527</v>
      </c>
      <c r="F17" s="450" t="s">
        <v>3</v>
      </c>
      <c r="G17" s="450" t="s">
        <v>549</v>
      </c>
    </row>
    <row r="18" spans="1:7" x14ac:dyDescent="0.35">
      <c r="A18" s="451"/>
      <c r="B18" s="451"/>
      <c r="C18" s="451"/>
      <c r="D18" s="451"/>
      <c r="E18" s="451"/>
      <c r="F18" s="451"/>
      <c r="G18" s="451"/>
    </row>
    <row r="19" spans="1:7" x14ac:dyDescent="0.35">
      <c r="A19" s="449" t="s">
        <v>550</v>
      </c>
      <c r="B19" s="449"/>
      <c r="C19" s="449"/>
      <c r="D19" s="449"/>
      <c r="E19" s="2">
        <v>4</v>
      </c>
      <c r="F19" s="2" t="s">
        <v>551</v>
      </c>
      <c r="G19" t="s">
        <v>539</v>
      </c>
    </row>
    <row r="20" spans="1:7" x14ac:dyDescent="0.35">
      <c r="A20" s="449" t="s">
        <v>552</v>
      </c>
      <c r="B20" s="449"/>
      <c r="C20" s="449"/>
      <c r="D20" s="449"/>
      <c r="E20" s="2">
        <v>3</v>
      </c>
      <c r="F20" t="s">
        <v>551</v>
      </c>
      <c r="G20" t="s">
        <v>539</v>
      </c>
    </row>
    <row r="21" spans="1:7" x14ac:dyDescent="0.35">
      <c r="A21" s="449" t="s">
        <v>553</v>
      </c>
      <c r="B21" s="449"/>
      <c r="C21" s="449"/>
      <c r="D21" s="449"/>
      <c r="E21" s="2">
        <v>2</v>
      </c>
      <c r="F21" t="s">
        <v>551</v>
      </c>
      <c r="G21" t="s">
        <v>539</v>
      </c>
    </row>
    <row r="22" spans="1:7" x14ac:dyDescent="0.35">
      <c r="A22" s="449" t="s">
        <v>554</v>
      </c>
      <c r="B22" s="449"/>
      <c r="C22" s="449"/>
      <c r="D22" s="449"/>
      <c r="E22" s="2">
        <v>1</v>
      </c>
      <c r="F22" t="s">
        <v>551</v>
      </c>
      <c r="G22" t="s">
        <v>539</v>
      </c>
    </row>
    <row r="23" spans="1:7" x14ac:dyDescent="0.35">
      <c r="A23" s="449" t="s">
        <v>555</v>
      </c>
      <c r="B23" s="449"/>
      <c r="C23" s="449"/>
      <c r="D23" s="449"/>
      <c r="E23" s="2">
        <v>2</v>
      </c>
      <c r="F23" t="s">
        <v>551</v>
      </c>
      <c r="G23" t="s">
        <v>539</v>
      </c>
    </row>
    <row r="24" spans="1:7" x14ac:dyDescent="0.35">
      <c r="A24" s="449" t="s">
        <v>556</v>
      </c>
      <c r="B24" s="449"/>
      <c r="C24" s="449"/>
      <c r="D24" s="449"/>
      <c r="E24" s="2">
        <v>2</v>
      </c>
      <c r="G24" t="s">
        <v>539</v>
      </c>
    </row>
    <row r="25" spans="1:7" x14ac:dyDescent="0.35">
      <c r="A25" s="449" t="s">
        <v>557</v>
      </c>
      <c r="B25" s="449"/>
      <c r="C25" s="449"/>
      <c r="D25" s="449"/>
      <c r="E25" s="2">
        <v>2</v>
      </c>
      <c r="G25" t="s">
        <v>539</v>
      </c>
    </row>
    <row r="26" spans="1:7" x14ac:dyDescent="0.35">
      <c r="A26" s="449"/>
      <c r="B26" s="449"/>
      <c r="C26" s="449"/>
      <c r="D26" s="449"/>
      <c r="E26" s="2"/>
    </row>
    <row r="27" spans="1:7" x14ac:dyDescent="0.35">
      <c r="A27" s="449"/>
      <c r="B27" s="449"/>
      <c r="C27" s="449"/>
      <c r="D27" s="449"/>
      <c r="E27" s="2"/>
    </row>
    <row r="28" spans="1:7" x14ac:dyDescent="0.35">
      <c r="A28" s="449"/>
      <c r="B28" s="449"/>
      <c r="C28" s="449"/>
      <c r="D28" s="449"/>
      <c r="E28" s="2"/>
    </row>
    <row r="29" spans="1:7" x14ac:dyDescent="0.35">
      <c r="A29" s="449"/>
      <c r="B29" s="449"/>
      <c r="C29" s="449"/>
      <c r="D29" s="449"/>
      <c r="E29" s="2"/>
    </row>
    <row r="30" spans="1:7" x14ac:dyDescent="0.35">
      <c r="A30" s="449"/>
      <c r="B30" s="449"/>
      <c r="C30" s="449"/>
      <c r="D30" s="449"/>
      <c r="E30" s="2"/>
    </row>
    <row r="31" spans="1:7" x14ac:dyDescent="0.35">
      <c r="A31" s="449"/>
      <c r="B31" s="449"/>
      <c r="C31" s="449"/>
      <c r="D31" s="449"/>
      <c r="E31" s="2"/>
    </row>
    <row r="32" spans="1:7" x14ac:dyDescent="0.35">
      <c r="A32" s="449"/>
      <c r="B32" s="449"/>
      <c r="C32" s="449"/>
      <c r="D32" s="449"/>
      <c r="E32" s="2"/>
    </row>
    <row r="33" spans="1:5" x14ac:dyDescent="0.35">
      <c r="A33" s="449"/>
      <c r="B33" s="449"/>
      <c r="C33" s="449"/>
      <c r="D33" s="449"/>
      <c r="E33" s="2"/>
    </row>
    <row r="34" spans="1:5" x14ac:dyDescent="0.35">
      <c r="A34" s="449"/>
      <c r="B34" s="449"/>
      <c r="C34" s="449"/>
      <c r="D34" s="449"/>
      <c r="E34" s="2"/>
    </row>
    <row r="35" spans="1:5" x14ac:dyDescent="0.35">
      <c r="A35" s="449"/>
      <c r="B35" s="449"/>
      <c r="C35" s="449"/>
      <c r="D35" s="449"/>
      <c r="E35" s="2"/>
    </row>
    <row r="36" spans="1:5" x14ac:dyDescent="0.35">
      <c r="A36" s="449"/>
      <c r="B36" s="449"/>
      <c r="C36" s="449"/>
      <c r="D36" s="449"/>
      <c r="E36" s="2"/>
    </row>
    <row r="37" spans="1:5" x14ac:dyDescent="0.35">
      <c r="A37" s="449"/>
      <c r="B37" s="449"/>
      <c r="C37" s="449"/>
      <c r="D37" s="449"/>
      <c r="E37" s="2"/>
    </row>
    <row r="38" spans="1:5" x14ac:dyDescent="0.35">
      <c r="A38" s="449"/>
      <c r="B38" s="449"/>
      <c r="C38" s="449"/>
      <c r="D38" s="449"/>
      <c r="E38" s="2"/>
    </row>
    <row r="39" spans="1:5" x14ac:dyDescent="0.35">
      <c r="E39" s="2"/>
    </row>
    <row r="40" spans="1:5" x14ac:dyDescent="0.35">
      <c r="E40" s="2"/>
    </row>
    <row r="41" spans="1:5" x14ac:dyDescent="0.35">
      <c r="E41" s="2"/>
    </row>
    <row r="42" spans="1:5" x14ac:dyDescent="0.35">
      <c r="E42" s="2"/>
    </row>
    <row r="43" spans="1:5" x14ac:dyDescent="0.35">
      <c r="E43" s="2"/>
    </row>
    <row r="44" spans="1:5" x14ac:dyDescent="0.35">
      <c r="E44" s="2"/>
    </row>
    <row r="45" spans="1:5" x14ac:dyDescent="0.35">
      <c r="E45" s="2"/>
    </row>
    <row r="46" spans="1:5" x14ac:dyDescent="0.35">
      <c r="E46" s="2"/>
    </row>
  </sheetData>
  <autoFilter ref="A3:E7" xr:uid="{B45A43AD-6756-417D-9E15-57B5F737CF58}"/>
  <mergeCells count="25">
    <mergeCell ref="G17:G18"/>
    <mergeCell ref="A19:D19"/>
    <mergeCell ref="F17:F18"/>
    <mergeCell ref="A35:D35"/>
    <mergeCell ref="A1:E2"/>
    <mergeCell ref="A17:D18"/>
    <mergeCell ref="E17:E18"/>
    <mergeCell ref="A32:D32"/>
    <mergeCell ref="A33:D33"/>
    <mergeCell ref="A36:D36"/>
    <mergeCell ref="A37:D37"/>
    <mergeCell ref="A38:D38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4:D3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60BC-8DFB-4E4D-A073-1035C315B7EC}">
  <sheetPr>
    <tabColor theme="4" tint="-0.499984740745262"/>
  </sheetPr>
  <dimension ref="A1:A13"/>
  <sheetViews>
    <sheetView workbookViewId="0">
      <selection activeCell="F17" sqref="F17"/>
    </sheetView>
  </sheetViews>
  <sheetFormatPr defaultColWidth="8.90625" defaultRowHeight="15" x14ac:dyDescent="0.35"/>
  <cols>
    <col min="1" max="1" width="18.08984375" style="260" customWidth="1"/>
    <col min="2" max="16384" width="8.90625" style="260"/>
  </cols>
  <sheetData>
    <row r="1" spans="1:1" ht="24.6" x14ac:dyDescent="0.4">
      <c r="A1" s="397" t="s">
        <v>558</v>
      </c>
    </row>
    <row r="2" spans="1:1" x14ac:dyDescent="0.35">
      <c r="A2" s="260" t="s">
        <v>559</v>
      </c>
    </row>
    <row r="6" spans="1:1" x14ac:dyDescent="0.35">
      <c r="A6" s="260" t="s">
        <v>560</v>
      </c>
    </row>
    <row r="9" spans="1:1" x14ac:dyDescent="0.35">
      <c r="A9" s="398" t="s">
        <v>561</v>
      </c>
    </row>
    <row r="10" spans="1:1" s="399" customFormat="1" x14ac:dyDescent="0.35">
      <c r="A10" s="399" t="s">
        <v>562</v>
      </c>
    </row>
    <row r="13" spans="1:1" x14ac:dyDescent="0.35">
      <c r="A13" s="260" t="s">
        <v>563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8B74-0301-4C15-98D0-762CB02F0666}">
  <sheetPr>
    <tabColor theme="4" tint="-0.499984740745262"/>
  </sheetPr>
  <dimension ref="A1:K49"/>
  <sheetViews>
    <sheetView topLeftCell="A22" zoomScaleNormal="100" workbookViewId="0">
      <selection activeCell="B50" sqref="B50"/>
    </sheetView>
  </sheetViews>
  <sheetFormatPr defaultRowHeight="15" x14ac:dyDescent="0.35"/>
  <cols>
    <col min="1" max="1" width="35.81640625" customWidth="1"/>
    <col min="2" max="2" width="16.36328125" customWidth="1"/>
    <col min="3" max="3" width="27.08984375" bestFit="1" customWidth="1"/>
    <col min="4" max="4" width="27.6328125" customWidth="1"/>
    <col min="5" max="5" width="14.08984375" customWidth="1"/>
    <col min="6" max="6" width="16.453125" customWidth="1"/>
  </cols>
  <sheetData>
    <row r="1" spans="1:11" ht="52.5" customHeight="1" x14ac:dyDescent="0.35">
      <c r="A1" s="49" t="s">
        <v>564</v>
      </c>
      <c r="B1" s="49"/>
      <c r="C1" s="49"/>
      <c r="D1" s="49"/>
      <c r="E1" s="49"/>
      <c r="F1" s="256"/>
      <c r="G1" s="4"/>
      <c r="H1" s="4"/>
    </row>
    <row r="2" spans="1:11" s="10" customFormat="1" x14ac:dyDescent="0.35">
      <c r="A2" s="431" t="s">
        <v>3</v>
      </c>
      <c r="B2" s="431" t="s">
        <v>502</v>
      </c>
      <c r="C2" s="431" t="s">
        <v>6</v>
      </c>
      <c r="D2" s="431" t="s">
        <v>565</v>
      </c>
      <c r="E2" s="431" t="s">
        <v>566</v>
      </c>
      <c r="F2" s="431" t="s">
        <v>11</v>
      </c>
      <c r="G2" s="432"/>
      <c r="H2" s="432"/>
      <c r="I2" s="432"/>
      <c r="J2" s="432"/>
      <c r="K2" s="432"/>
    </row>
    <row r="3" spans="1:11" x14ac:dyDescent="0.35">
      <c r="A3" s="92" t="s">
        <v>567</v>
      </c>
      <c r="B3" s="2" t="s">
        <v>568</v>
      </c>
      <c r="C3" s="2" t="s">
        <v>569</v>
      </c>
      <c r="D3" s="2" t="s">
        <v>570</v>
      </c>
      <c r="E3" s="2" t="s">
        <v>571</v>
      </c>
      <c r="F3" s="246"/>
    </row>
    <row r="4" spans="1:11" x14ac:dyDescent="0.35">
      <c r="A4" s="2" t="s">
        <v>79</v>
      </c>
      <c r="B4" s="2" t="s">
        <v>572</v>
      </c>
      <c r="C4" s="2" t="s">
        <v>573</v>
      </c>
      <c r="D4" s="2" t="s">
        <v>574</v>
      </c>
      <c r="E4" s="2" t="s">
        <v>575</v>
      </c>
      <c r="F4" s="246">
        <v>5235.7</v>
      </c>
    </row>
    <row r="5" spans="1:11" x14ac:dyDescent="0.35">
      <c r="A5" s="2" t="s">
        <v>79</v>
      </c>
      <c r="B5" s="2" t="s">
        <v>572</v>
      </c>
      <c r="C5" s="2" t="s">
        <v>576</v>
      </c>
      <c r="D5" s="2" t="s">
        <v>577</v>
      </c>
      <c r="E5" s="2" t="s">
        <v>578</v>
      </c>
      <c r="F5" s="246"/>
    </row>
    <row r="6" spans="1:11" ht="15" customHeight="1" x14ac:dyDescent="0.35">
      <c r="A6" s="2" t="s">
        <v>72</v>
      </c>
      <c r="B6" s="2" t="s">
        <v>572</v>
      </c>
      <c r="C6" s="2" t="s">
        <v>579</v>
      </c>
      <c r="D6" s="2" t="s">
        <v>580</v>
      </c>
      <c r="E6" s="2" t="s">
        <v>581</v>
      </c>
      <c r="F6" s="246"/>
    </row>
    <row r="7" spans="1:11" ht="14.25" customHeight="1" x14ac:dyDescent="0.35">
      <c r="A7" s="2" t="s">
        <v>184</v>
      </c>
      <c r="B7" s="2" t="s">
        <v>572</v>
      </c>
      <c r="C7" s="2" t="s">
        <v>582</v>
      </c>
      <c r="D7" s="2" t="s">
        <v>583</v>
      </c>
      <c r="E7" s="2" t="s">
        <v>584</v>
      </c>
      <c r="F7" s="246">
        <v>5235.7</v>
      </c>
    </row>
    <row r="8" spans="1:11" ht="15" customHeight="1" x14ac:dyDescent="0.35">
      <c r="A8" s="2" t="s">
        <v>137</v>
      </c>
      <c r="B8" s="2" t="s">
        <v>572</v>
      </c>
      <c r="C8" s="2" t="s">
        <v>585</v>
      </c>
      <c r="D8" s="2" t="s">
        <v>574</v>
      </c>
      <c r="E8" s="2" t="s">
        <v>586</v>
      </c>
      <c r="F8" s="246">
        <v>5235.7</v>
      </c>
    </row>
    <row r="9" spans="1:11" x14ac:dyDescent="0.35">
      <c r="A9" s="2" t="s">
        <v>145</v>
      </c>
      <c r="B9" s="2" t="s">
        <v>572</v>
      </c>
      <c r="C9" s="2" t="s">
        <v>576</v>
      </c>
      <c r="D9" s="2" t="s">
        <v>577</v>
      </c>
      <c r="E9" s="2" t="s">
        <v>587</v>
      </c>
      <c r="F9" s="246"/>
    </row>
    <row r="10" spans="1:11" ht="14.25" customHeight="1" x14ac:dyDescent="0.35">
      <c r="A10" s="2" t="s">
        <v>26</v>
      </c>
      <c r="B10" s="2" t="s">
        <v>572</v>
      </c>
      <c r="C10" s="2" t="s">
        <v>582</v>
      </c>
      <c r="D10" s="2" t="s">
        <v>583</v>
      </c>
      <c r="E10" s="2" t="s">
        <v>588</v>
      </c>
      <c r="F10" s="246">
        <v>5235.7</v>
      </c>
    </row>
    <row r="11" spans="1:11" x14ac:dyDescent="0.3">
      <c r="A11" s="2" t="s">
        <v>589</v>
      </c>
      <c r="B11" s="2" t="s">
        <v>568</v>
      </c>
      <c r="C11" s="2" t="s">
        <v>590</v>
      </c>
      <c r="D11" s="2" t="s">
        <v>591</v>
      </c>
      <c r="E11" s="5" t="s">
        <v>592</v>
      </c>
      <c r="F11" s="22"/>
      <c r="G11" s="6"/>
      <c r="H11" s="6"/>
      <c r="I11" s="9"/>
      <c r="J11" s="1"/>
      <c r="K11" s="1"/>
    </row>
    <row r="12" spans="1:11" x14ac:dyDescent="0.35">
      <c r="A12" s="2" t="s">
        <v>26</v>
      </c>
      <c r="B12" s="2" t="s">
        <v>593</v>
      </c>
      <c r="C12" s="2" t="s">
        <v>594</v>
      </c>
      <c r="D12" s="2" t="s">
        <v>595</v>
      </c>
      <c r="E12" s="5" t="s">
        <v>592</v>
      </c>
      <c r="F12" s="2" t="s">
        <v>596</v>
      </c>
    </row>
    <row r="13" spans="1:11" ht="16.2" customHeight="1" x14ac:dyDescent="0.35">
      <c r="A13" s="2" t="s">
        <v>597</v>
      </c>
      <c r="B13" s="2" t="s">
        <v>568</v>
      </c>
      <c r="C13" s="2" t="s">
        <v>598</v>
      </c>
      <c r="D13" s="2" t="s">
        <v>599</v>
      </c>
      <c r="E13" s="2" t="s">
        <v>600</v>
      </c>
      <c r="F13" s="246">
        <v>879.55</v>
      </c>
    </row>
    <row r="14" spans="1:11" x14ac:dyDescent="0.35">
      <c r="A14" s="2" t="s">
        <v>181</v>
      </c>
      <c r="B14" s="2" t="s">
        <v>572</v>
      </c>
      <c r="C14" s="2" t="s">
        <v>601</v>
      </c>
      <c r="D14" s="2" t="s">
        <v>602</v>
      </c>
      <c r="E14" s="2"/>
      <c r="F14" s="246"/>
    </row>
    <row r="15" spans="1:11" x14ac:dyDescent="0.35">
      <c r="A15" s="2" t="s">
        <v>30</v>
      </c>
      <c r="B15" s="2" t="s">
        <v>572</v>
      </c>
      <c r="C15" s="2" t="s">
        <v>579</v>
      </c>
      <c r="D15" s="2" t="s">
        <v>580</v>
      </c>
      <c r="E15" s="2" t="s">
        <v>603</v>
      </c>
      <c r="F15" s="246"/>
    </row>
    <row r="16" spans="1:11" x14ac:dyDescent="0.35">
      <c r="A16" s="2" t="s">
        <v>67</v>
      </c>
      <c r="B16" s="2" t="s">
        <v>572</v>
      </c>
      <c r="C16" s="2" t="s">
        <v>579</v>
      </c>
      <c r="D16" s="2" t="s">
        <v>580</v>
      </c>
      <c r="E16" s="2" t="s">
        <v>603</v>
      </c>
      <c r="F16" s="246"/>
    </row>
    <row r="17" spans="1:6" x14ac:dyDescent="0.35">
      <c r="A17" s="2" t="s">
        <v>26</v>
      </c>
      <c r="B17" s="2" t="s">
        <v>604</v>
      </c>
      <c r="C17" s="2" t="s">
        <v>605</v>
      </c>
      <c r="D17" s="2" t="s">
        <v>606</v>
      </c>
      <c r="E17" s="2"/>
      <c r="F17" s="246"/>
    </row>
    <row r="18" spans="1:6" x14ac:dyDescent="0.35">
      <c r="A18" s="2" t="s">
        <v>241</v>
      </c>
      <c r="B18" s="2" t="s">
        <v>604</v>
      </c>
      <c r="C18" s="2" t="s">
        <v>605</v>
      </c>
      <c r="D18" s="2" t="s">
        <v>606</v>
      </c>
      <c r="E18" s="2" t="s">
        <v>603</v>
      </c>
      <c r="F18" s="16"/>
    </row>
    <row r="19" spans="1:6" x14ac:dyDescent="0.35">
      <c r="A19" s="2" t="s">
        <v>607</v>
      </c>
      <c r="B19" s="2" t="s">
        <v>604</v>
      </c>
      <c r="C19" s="2" t="s">
        <v>608</v>
      </c>
      <c r="D19" s="2" t="s">
        <v>606</v>
      </c>
      <c r="E19" s="2"/>
      <c r="F19" s="16"/>
    </row>
    <row r="20" spans="1:6" x14ac:dyDescent="0.35">
      <c r="A20" s="2" t="s">
        <v>142</v>
      </c>
      <c r="B20" s="2" t="s">
        <v>604</v>
      </c>
      <c r="C20" s="2" t="s">
        <v>605</v>
      </c>
      <c r="D20" s="2" t="s">
        <v>606</v>
      </c>
      <c r="E20" s="2" t="s">
        <v>603</v>
      </c>
      <c r="F20" s="16"/>
    </row>
    <row r="22" spans="1:6" ht="30" x14ac:dyDescent="0.35">
      <c r="A22" s="19" t="s">
        <v>609</v>
      </c>
    </row>
    <row r="23" spans="1:6" s="11" customFormat="1" ht="16.5" customHeight="1" x14ac:dyDescent="0.35">
      <c r="A23" s="20" t="s">
        <v>610</v>
      </c>
      <c r="B23" s="11" t="s">
        <v>611</v>
      </c>
      <c r="C23" s="11" t="s">
        <v>612</v>
      </c>
    </row>
    <row r="24" spans="1:6" x14ac:dyDescent="0.35">
      <c r="A24" s="2" t="s">
        <v>574</v>
      </c>
      <c r="B24" s="2">
        <v>3</v>
      </c>
      <c r="C24" s="246">
        <v>60</v>
      </c>
      <c r="D24" t="s">
        <v>613</v>
      </c>
    </row>
    <row r="25" spans="1:6" x14ac:dyDescent="0.35">
      <c r="A25" s="2" t="s">
        <v>555</v>
      </c>
      <c r="B25" s="2">
        <v>2</v>
      </c>
      <c r="C25" s="246">
        <v>150</v>
      </c>
      <c r="D25" t="s">
        <v>613</v>
      </c>
    </row>
    <row r="26" spans="1:6" x14ac:dyDescent="0.35">
      <c r="A26" s="2" t="s">
        <v>553</v>
      </c>
      <c r="B26" s="2">
        <v>3</v>
      </c>
      <c r="C26" s="246">
        <v>150</v>
      </c>
      <c r="D26" t="s">
        <v>613</v>
      </c>
    </row>
    <row r="27" spans="1:6" x14ac:dyDescent="0.35">
      <c r="A27" s="2" t="s">
        <v>554</v>
      </c>
      <c r="B27" s="2">
        <v>1</v>
      </c>
      <c r="C27" s="246">
        <v>150</v>
      </c>
      <c r="D27" t="s">
        <v>613</v>
      </c>
    </row>
    <row r="28" spans="1:6" x14ac:dyDescent="0.35">
      <c r="A28" s="2" t="s">
        <v>614</v>
      </c>
      <c r="B28" s="2">
        <v>3</v>
      </c>
      <c r="C28" s="246">
        <v>150</v>
      </c>
      <c r="D28" t="s">
        <v>613</v>
      </c>
    </row>
    <row r="29" spans="1:6" x14ac:dyDescent="0.35">
      <c r="A29" s="2" t="s">
        <v>615</v>
      </c>
      <c r="B29" s="2">
        <v>4</v>
      </c>
      <c r="C29" s="246">
        <v>60</v>
      </c>
      <c r="D29" t="s">
        <v>613</v>
      </c>
    </row>
    <row r="30" spans="1:6" x14ac:dyDescent="0.35">
      <c r="A30" s="2" t="s">
        <v>591</v>
      </c>
      <c r="B30" s="2">
        <v>3</v>
      </c>
      <c r="C30" s="246">
        <v>110</v>
      </c>
      <c r="D30" t="s">
        <v>613</v>
      </c>
    </row>
    <row r="31" spans="1:6" x14ac:dyDescent="0.35">
      <c r="A31" s="2" t="s">
        <v>570</v>
      </c>
      <c r="B31" s="2">
        <v>3</v>
      </c>
      <c r="C31" s="246">
        <v>55</v>
      </c>
      <c r="D31" t="s">
        <v>613</v>
      </c>
    </row>
    <row r="32" spans="1:6" x14ac:dyDescent="0.35">
      <c r="A32" s="2" t="s">
        <v>616</v>
      </c>
      <c r="B32" s="2">
        <v>2</v>
      </c>
      <c r="C32" s="246">
        <v>63</v>
      </c>
    </row>
    <row r="33" spans="1:4" x14ac:dyDescent="0.35">
      <c r="A33" s="2" t="s">
        <v>617</v>
      </c>
      <c r="B33" s="2">
        <v>1</v>
      </c>
      <c r="C33" s="246">
        <v>78</v>
      </c>
    </row>
    <row r="34" spans="1:4" x14ac:dyDescent="0.35">
      <c r="A34" s="2" t="s">
        <v>595</v>
      </c>
      <c r="B34" s="2">
        <v>0</v>
      </c>
      <c r="C34" s="246"/>
    </row>
    <row r="35" spans="1:4" x14ac:dyDescent="0.35">
      <c r="A35" s="2" t="s">
        <v>580</v>
      </c>
      <c r="B35" s="2">
        <v>5</v>
      </c>
      <c r="C35" s="246"/>
      <c r="D35" t="s">
        <v>613</v>
      </c>
    </row>
    <row r="36" spans="1:4" x14ac:dyDescent="0.35">
      <c r="A36" s="2" t="s">
        <v>618</v>
      </c>
      <c r="B36" s="2">
        <v>2</v>
      </c>
      <c r="C36" s="246"/>
      <c r="D36" t="s">
        <v>613</v>
      </c>
    </row>
    <row r="37" spans="1:4" x14ac:dyDescent="0.35">
      <c r="A37" s="2" t="s">
        <v>619</v>
      </c>
      <c r="B37" s="2">
        <v>3</v>
      </c>
      <c r="C37" s="246">
        <v>289</v>
      </c>
      <c r="D37" t="s">
        <v>613</v>
      </c>
    </row>
    <row r="38" spans="1:4" x14ac:dyDescent="0.35">
      <c r="A38" s="2" t="s">
        <v>620</v>
      </c>
      <c r="B38" s="2">
        <v>1</v>
      </c>
      <c r="C38" s="246">
        <v>289</v>
      </c>
      <c r="D38" t="s">
        <v>613</v>
      </c>
    </row>
    <row r="39" spans="1:4" x14ac:dyDescent="0.35">
      <c r="A39" s="2" t="s">
        <v>621</v>
      </c>
      <c r="B39" s="2">
        <v>3</v>
      </c>
      <c r="C39" s="246">
        <v>289</v>
      </c>
      <c r="D39" t="s">
        <v>613</v>
      </c>
    </row>
    <row r="40" spans="1:4" x14ac:dyDescent="0.35">
      <c r="A40" s="2" t="s">
        <v>622</v>
      </c>
      <c r="B40" s="2">
        <v>2</v>
      </c>
      <c r="C40" s="246">
        <v>289</v>
      </c>
      <c r="D40" t="s">
        <v>613</v>
      </c>
    </row>
    <row r="41" spans="1:4" x14ac:dyDescent="0.35">
      <c r="A41" s="2" t="s">
        <v>623</v>
      </c>
      <c r="B41" s="2">
        <v>2</v>
      </c>
      <c r="C41" s="246">
        <v>161.25</v>
      </c>
      <c r="D41" t="s">
        <v>613</v>
      </c>
    </row>
    <row r="42" spans="1:4" x14ac:dyDescent="0.35">
      <c r="A42" s="2" t="s">
        <v>624</v>
      </c>
      <c r="B42" s="2">
        <v>3</v>
      </c>
      <c r="C42" s="246">
        <v>161.25</v>
      </c>
      <c r="D42" t="s">
        <v>613</v>
      </c>
    </row>
    <row r="43" spans="1:4" x14ac:dyDescent="0.35">
      <c r="A43" s="2" t="s">
        <v>625</v>
      </c>
      <c r="B43" s="2">
        <v>3</v>
      </c>
      <c r="C43" s="246">
        <v>161.25</v>
      </c>
      <c r="D43" t="s">
        <v>613</v>
      </c>
    </row>
    <row r="44" spans="1:4" x14ac:dyDescent="0.35">
      <c r="A44" s="2" t="s">
        <v>626</v>
      </c>
      <c r="B44" s="2">
        <v>2</v>
      </c>
      <c r="C44" s="246">
        <v>161.25</v>
      </c>
      <c r="D44" t="s">
        <v>613</v>
      </c>
    </row>
    <row r="45" spans="1:4" x14ac:dyDescent="0.35">
      <c r="A45" s="2"/>
      <c r="B45" s="2"/>
      <c r="C45" s="16"/>
    </row>
    <row r="46" spans="1:4" x14ac:dyDescent="0.35">
      <c r="A46" s="433" t="s">
        <v>627</v>
      </c>
      <c r="B46" s="41"/>
      <c r="C46" s="16"/>
      <c r="D46" t="s">
        <v>596</v>
      </c>
    </row>
    <row r="47" spans="1:4" x14ac:dyDescent="0.35">
      <c r="A47" s="2" t="s">
        <v>628</v>
      </c>
      <c r="B47" s="2">
        <v>4</v>
      </c>
      <c r="C47" s="16"/>
    </row>
    <row r="48" spans="1:4" x14ac:dyDescent="0.35">
      <c r="A48" s="2" t="s">
        <v>615</v>
      </c>
      <c r="B48" s="2">
        <v>2</v>
      </c>
      <c r="C48" s="16"/>
    </row>
    <row r="49" spans="1:4" x14ac:dyDescent="0.35">
      <c r="A49" s="2" t="s">
        <v>629</v>
      </c>
      <c r="B49" s="2">
        <v>5</v>
      </c>
      <c r="C49" s="16"/>
      <c r="D49" t="s">
        <v>613</v>
      </c>
    </row>
  </sheetData>
  <autoFilter ref="A2:K2" xr:uid="{E3BD8B74-0301-4C15-98D0-762CB02F0666}"/>
  <phoneticPr fontId="25" type="noConversion"/>
  <dataValidations count="4">
    <dataValidation allowBlank="1" showInputMessage="1" showErrorMessage="1" prompt="Inserir o número do compartimento nesta coluna" sqref="A11:C11 A3" xr:uid="{100FFA37-3D7C-44DA-A64A-F589156E789E}"/>
    <dataValidation allowBlank="1" showInputMessage="1" showErrorMessage="1" prompt="Insira o local do compartimento nesta coluna" sqref="F11" xr:uid="{83E32F74-B587-4868-AC2B-024EE14DCCF7}"/>
    <dataValidation allowBlank="1" showInputMessage="1" showErrorMessage="1" prompt="Insira a largura do compartimento nesta coluna" sqref="G11:I11" xr:uid="{5107B0E1-1C99-4636-BEAB-9204FD298927}"/>
    <dataValidation allowBlank="1" showInputMessage="1" showErrorMessage="1" prompt="Insira uma descrição do compartimento nesta coluna" sqref="D11:E11 A30 E12" xr:uid="{C356DCE7-97D8-44D6-8CC6-793A6D2DB720}"/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8212-057A-44F5-850E-8C19388D34B7}">
  <sheetPr>
    <tabColor theme="4" tint="-0.499984740745262"/>
  </sheetPr>
  <dimension ref="A1:AC52"/>
  <sheetViews>
    <sheetView zoomScale="96" zoomScaleNormal="96" workbookViewId="0">
      <selection activeCell="B6" sqref="B6"/>
    </sheetView>
  </sheetViews>
  <sheetFormatPr defaultRowHeight="15" x14ac:dyDescent="0.35"/>
  <cols>
    <col min="1" max="1" width="17.81640625" customWidth="1"/>
    <col min="2" max="3" width="12.90625" customWidth="1"/>
    <col min="7" max="7" width="9.90625" customWidth="1"/>
    <col min="8" max="8" width="14.90625" customWidth="1"/>
    <col min="9" max="9" width="17.08984375" customWidth="1"/>
  </cols>
  <sheetData>
    <row r="1" spans="1:8" ht="30" x14ac:dyDescent="0.35">
      <c r="A1" s="328" t="s">
        <v>630</v>
      </c>
      <c r="B1" s="329"/>
      <c r="C1" s="329"/>
      <c r="D1" s="328"/>
    </row>
    <row r="2" spans="1:8" x14ac:dyDescent="0.35">
      <c r="A2" s="2"/>
      <c r="B2" s="2"/>
      <c r="C2" s="2"/>
      <c r="D2" s="2"/>
      <c r="E2" s="2"/>
      <c r="F2" s="2"/>
    </row>
    <row r="4" spans="1:8" x14ac:dyDescent="0.35">
      <c r="A4" s="452" t="s">
        <v>631</v>
      </c>
      <c r="B4" s="452"/>
      <c r="C4" s="452"/>
      <c r="D4" s="452"/>
      <c r="E4" s="452"/>
      <c r="F4" s="452"/>
      <c r="G4" s="452"/>
      <c r="H4" s="452"/>
    </row>
    <row r="5" spans="1:8" x14ac:dyDescent="0.35">
      <c r="A5" s="330" t="s">
        <v>632</v>
      </c>
      <c r="B5" s="330" t="s">
        <v>633</v>
      </c>
      <c r="C5" s="330" t="s">
        <v>634</v>
      </c>
      <c r="D5" s="330" t="s">
        <v>635</v>
      </c>
      <c r="E5" s="330" t="s">
        <v>636</v>
      </c>
      <c r="F5" s="330" t="s">
        <v>637</v>
      </c>
      <c r="G5" s="330" t="s">
        <v>638</v>
      </c>
      <c r="H5" s="330" t="s">
        <v>639</v>
      </c>
    </row>
    <row r="6" spans="1:8" x14ac:dyDescent="0.35">
      <c r="A6" s="2" t="s">
        <v>640</v>
      </c>
      <c r="B6" s="2" t="s">
        <v>532</v>
      </c>
      <c r="C6" s="2" t="s">
        <v>532</v>
      </c>
      <c r="D6" s="2" t="s">
        <v>532</v>
      </c>
      <c r="E6" s="2"/>
      <c r="F6" s="2" t="s">
        <v>532</v>
      </c>
      <c r="G6" s="2" t="s">
        <v>532</v>
      </c>
      <c r="H6" s="2" t="s">
        <v>641</v>
      </c>
    </row>
    <row r="7" spans="1:8" x14ac:dyDescent="0.35">
      <c r="A7" s="2" t="s">
        <v>642</v>
      </c>
      <c r="B7" s="2"/>
      <c r="C7" s="2" t="s">
        <v>532</v>
      </c>
      <c r="D7" s="2" t="s">
        <v>532</v>
      </c>
      <c r="E7" s="2"/>
      <c r="F7" s="2"/>
      <c r="G7" s="2" t="s">
        <v>532</v>
      </c>
      <c r="H7" s="2" t="s">
        <v>641</v>
      </c>
    </row>
    <row r="8" spans="1:8" x14ac:dyDescent="0.35">
      <c r="A8" s="2" t="s">
        <v>643</v>
      </c>
      <c r="B8" s="2" t="s">
        <v>532</v>
      </c>
      <c r="C8" s="2" t="s">
        <v>532</v>
      </c>
      <c r="D8" s="2" t="s">
        <v>532</v>
      </c>
      <c r="F8" s="2" t="s">
        <v>532</v>
      </c>
      <c r="G8" s="2" t="s">
        <v>532</v>
      </c>
      <c r="H8" s="2" t="s">
        <v>145</v>
      </c>
    </row>
    <row r="9" spans="1:8" x14ac:dyDescent="0.35">
      <c r="A9" s="2" t="s">
        <v>644</v>
      </c>
      <c r="B9" s="2"/>
      <c r="C9" s="2" t="s">
        <v>532</v>
      </c>
      <c r="E9" s="2" t="s">
        <v>532</v>
      </c>
      <c r="F9" s="2" t="s">
        <v>532</v>
      </c>
      <c r="G9" s="2" t="s">
        <v>532</v>
      </c>
      <c r="H9" s="2" t="s">
        <v>145</v>
      </c>
    </row>
    <row r="10" spans="1:8" x14ac:dyDescent="0.35">
      <c r="A10" s="2" t="s">
        <v>645</v>
      </c>
      <c r="B10" s="2" t="s">
        <v>532</v>
      </c>
      <c r="C10" s="2" t="s">
        <v>532</v>
      </c>
      <c r="D10" s="2" t="s">
        <v>532</v>
      </c>
      <c r="F10" s="2" t="s">
        <v>532</v>
      </c>
      <c r="G10" s="2" t="s">
        <v>532</v>
      </c>
      <c r="H10" s="2" t="s">
        <v>145</v>
      </c>
    </row>
    <row r="11" spans="1:8" x14ac:dyDescent="0.35">
      <c r="A11" s="2" t="s">
        <v>646</v>
      </c>
      <c r="B11" s="2"/>
      <c r="C11" s="2" t="s">
        <v>532</v>
      </c>
      <c r="D11" s="2" t="s">
        <v>532</v>
      </c>
      <c r="F11" s="2" t="s">
        <v>532</v>
      </c>
      <c r="G11" s="2" t="s">
        <v>532</v>
      </c>
      <c r="H11" s="2" t="s">
        <v>647</v>
      </c>
    </row>
    <row r="12" spans="1:8" x14ac:dyDescent="0.35">
      <c r="A12" s="2" t="s">
        <v>648</v>
      </c>
      <c r="B12" s="2" t="s">
        <v>532</v>
      </c>
      <c r="C12" s="2" t="s">
        <v>532</v>
      </c>
      <c r="D12" s="2" t="s">
        <v>532</v>
      </c>
      <c r="F12" s="2" t="s">
        <v>532</v>
      </c>
      <c r="G12" s="2" t="s">
        <v>532</v>
      </c>
      <c r="H12" s="2" t="s">
        <v>641</v>
      </c>
    </row>
    <row r="13" spans="1:8" x14ac:dyDescent="0.35">
      <c r="A13" s="2" t="s">
        <v>649</v>
      </c>
      <c r="B13" s="2"/>
      <c r="C13" s="2"/>
      <c r="D13" s="2" t="s">
        <v>532</v>
      </c>
      <c r="F13" s="2" t="s">
        <v>532</v>
      </c>
      <c r="G13" s="2" t="s">
        <v>532</v>
      </c>
      <c r="H13" s="2" t="s">
        <v>30</v>
      </c>
    </row>
    <row r="14" spans="1:8" x14ac:dyDescent="0.35">
      <c r="A14" s="2" t="s">
        <v>650</v>
      </c>
      <c r="B14" s="2"/>
      <c r="D14" s="2" t="s">
        <v>532</v>
      </c>
      <c r="G14" s="2" t="s">
        <v>532</v>
      </c>
      <c r="H14" s="2" t="s">
        <v>647</v>
      </c>
    </row>
    <row r="15" spans="1:8" x14ac:dyDescent="0.35">
      <c r="A15" s="2" t="s">
        <v>651</v>
      </c>
      <c r="B15" s="2" t="s">
        <v>532</v>
      </c>
      <c r="C15" s="2" t="s">
        <v>532</v>
      </c>
      <c r="D15" s="2"/>
      <c r="E15" s="2" t="s">
        <v>532</v>
      </c>
      <c r="F15" s="2" t="s">
        <v>532</v>
      </c>
      <c r="G15" s="2"/>
      <c r="H15" s="2" t="s">
        <v>652</v>
      </c>
    </row>
    <row r="16" spans="1:8" x14ac:dyDescent="0.35">
      <c r="A16" s="2" t="s">
        <v>653</v>
      </c>
      <c r="B16" s="2" t="s">
        <v>532</v>
      </c>
      <c r="F16" s="2" t="s">
        <v>532</v>
      </c>
      <c r="H16" s="2" t="s">
        <v>652</v>
      </c>
    </row>
    <row r="17" spans="1:8" x14ac:dyDescent="0.35">
      <c r="A17" s="2" t="s">
        <v>654</v>
      </c>
      <c r="B17" s="2" t="s">
        <v>532</v>
      </c>
      <c r="C17" s="2" t="s">
        <v>532</v>
      </c>
      <c r="F17" s="2" t="s">
        <v>532</v>
      </c>
      <c r="G17" s="2" t="s">
        <v>532</v>
      </c>
      <c r="H17" s="2" t="s">
        <v>652</v>
      </c>
    </row>
    <row r="18" spans="1:8" x14ac:dyDescent="0.35">
      <c r="A18" s="2" t="s">
        <v>655</v>
      </c>
      <c r="C18" s="2" t="s">
        <v>532</v>
      </c>
      <c r="D18" s="2"/>
      <c r="F18" s="2" t="s">
        <v>532</v>
      </c>
      <c r="H18" s="2" t="s">
        <v>274</v>
      </c>
    </row>
    <row r="19" spans="1:8" x14ac:dyDescent="0.35">
      <c r="A19" s="2" t="s">
        <v>13</v>
      </c>
      <c r="C19" s="2" t="s">
        <v>532</v>
      </c>
      <c r="F19" s="2" t="s">
        <v>532</v>
      </c>
      <c r="H19" s="2" t="s">
        <v>274</v>
      </c>
    </row>
    <row r="20" spans="1:8" x14ac:dyDescent="0.35">
      <c r="A20" s="2" t="s">
        <v>195</v>
      </c>
      <c r="B20" s="2" t="s">
        <v>532</v>
      </c>
      <c r="C20" s="2" t="s">
        <v>532</v>
      </c>
      <c r="D20" s="2"/>
      <c r="E20" s="2"/>
      <c r="F20" s="2" t="s">
        <v>532</v>
      </c>
      <c r="G20" s="2" t="s">
        <v>532</v>
      </c>
      <c r="H20" s="2" t="s">
        <v>274</v>
      </c>
    </row>
    <row r="21" spans="1:8" x14ac:dyDescent="0.35">
      <c r="A21" s="2" t="s">
        <v>103</v>
      </c>
      <c r="B21" s="2" t="s">
        <v>532</v>
      </c>
      <c r="C21" s="2" t="s">
        <v>532</v>
      </c>
      <c r="F21" s="2" t="s">
        <v>532</v>
      </c>
      <c r="G21" s="2" t="s">
        <v>532</v>
      </c>
      <c r="H21" s="2" t="s">
        <v>274</v>
      </c>
    </row>
    <row r="22" spans="1:8" x14ac:dyDescent="0.35">
      <c r="A22" s="2" t="s">
        <v>257</v>
      </c>
      <c r="B22" s="2" t="s">
        <v>532</v>
      </c>
      <c r="C22" s="2" t="s">
        <v>532</v>
      </c>
      <c r="F22" s="2" t="s">
        <v>532</v>
      </c>
      <c r="H22" s="2" t="s">
        <v>274</v>
      </c>
    </row>
    <row r="23" spans="1:8" x14ac:dyDescent="0.35">
      <c r="A23" s="2" t="s">
        <v>273</v>
      </c>
      <c r="F23" s="2" t="s">
        <v>532</v>
      </c>
      <c r="H23" s="2" t="s">
        <v>274</v>
      </c>
    </row>
    <row r="24" spans="1:8" x14ac:dyDescent="0.35">
      <c r="A24" s="2" t="s">
        <v>656</v>
      </c>
      <c r="G24" s="2" t="s">
        <v>532</v>
      </c>
      <c r="H24" s="2" t="s">
        <v>181</v>
      </c>
    </row>
    <row r="25" spans="1:8" x14ac:dyDescent="0.35">
      <c r="A25" s="2" t="s">
        <v>328</v>
      </c>
      <c r="B25" s="2" t="s">
        <v>532</v>
      </c>
      <c r="C25" s="2" t="s">
        <v>532</v>
      </c>
      <c r="E25" s="2" t="s">
        <v>532</v>
      </c>
      <c r="F25" s="2" t="s">
        <v>532</v>
      </c>
      <c r="G25" s="2" t="s">
        <v>532</v>
      </c>
      <c r="H25" s="2" t="s">
        <v>115</v>
      </c>
    </row>
    <row r="26" spans="1:8" x14ac:dyDescent="0.35">
      <c r="A26" s="2" t="s">
        <v>45</v>
      </c>
      <c r="C26" s="2" t="s">
        <v>532</v>
      </c>
      <c r="D26" s="2"/>
      <c r="E26" s="2" t="s">
        <v>532</v>
      </c>
      <c r="F26" s="2" t="s">
        <v>532</v>
      </c>
      <c r="G26" s="2" t="s">
        <v>532</v>
      </c>
      <c r="H26" s="2" t="s">
        <v>115</v>
      </c>
    </row>
    <row r="27" spans="1:8" x14ac:dyDescent="0.35">
      <c r="A27" s="2" t="s">
        <v>497</v>
      </c>
      <c r="C27" s="2" t="s">
        <v>532</v>
      </c>
      <c r="F27" s="2" t="s">
        <v>532</v>
      </c>
      <c r="G27" s="2" t="s">
        <v>532</v>
      </c>
      <c r="H27" s="2" t="s">
        <v>115</v>
      </c>
    </row>
    <row r="28" spans="1:8" x14ac:dyDescent="0.35">
      <c r="A28" s="2" t="s">
        <v>657</v>
      </c>
      <c r="C28" s="2" t="s">
        <v>532</v>
      </c>
      <c r="D28" s="2" t="s">
        <v>532</v>
      </c>
      <c r="E28" s="2" t="s">
        <v>532</v>
      </c>
      <c r="F28" s="2" t="s">
        <v>532</v>
      </c>
      <c r="G28" s="2" t="s">
        <v>532</v>
      </c>
      <c r="H28" s="2" t="s">
        <v>647</v>
      </c>
    </row>
    <row r="29" spans="1:8" x14ac:dyDescent="0.35">
      <c r="A29" s="2" t="s">
        <v>658</v>
      </c>
      <c r="B29" s="2" t="s">
        <v>532</v>
      </c>
      <c r="F29" s="2" t="s">
        <v>532</v>
      </c>
      <c r="G29" s="2" t="s">
        <v>532</v>
      </c>
      <c r="H29" s="2" t="s">
        <v>30</v>
      </c>
    </row>
    <row r="30" spans="1:8" x14ac:dyDescent="0.35">
      <c r="A30" s="2" t="s">
        <v>330</v>
      </c>
      <c r="F30" s="2" t="s">
        <v>532</v>
      </c>
      <c r="G30" s="2" t="s">
        <v>532</v>
      </c>
      <c r="H30" s="2" t="s">
        <v>30</v>
      </c>
    </row>
    <row r="31" spans="1:8" x14ac:dyDescent="0.35">
      <c r="A31" s="2" t="s">
        <v>659</v>
      </c>
      <c r="C31" s="2" t="s">
        <v>532</v>
      </c>
      <c r="F31" s="2" t="s">
        <v>532</v>
      </c>
      <c r="G31" s="2" t="s">
        <v>532</v>
      </c>
      <c r="H31" s="2" t="s">
        <v>188</v>
      </c>
    </row>
    <row r="32" spans="1:8" x14ac:dyDescent="0.35">
      <c r="A32" s="2" t="s">
        <v>660</v>
      </c>
      <c r="C32" s="2" t="s">
        <v>532</v>
      </c>
      <c r="F32" s="2" t="s">
        <v>532</v>
      </c>
      <c r="G32" s="2"/>
      <c r="H32" s="2" t="s">
        <v>79</v>
      </c>
    </row>
    <row r="33" spans="1:8" x14ac:dyDescent="0.35">
      <c r="A33" s="2" t="s">
        <v>661</v>
      </c>
      <c r="F33" s="2" t="s">
        <v>532</v>
      </c>
      <c r="H33" s="2" t="s">
        <v>662</v>
      </c>
    </row>
    <row r="34" spans="1:8" x14ac:dyDescent="0.35">
      <c r="A34" s="2" t="s">
        <v>212</v>
      </c>
      <c r="C34" s="2" t="s">
        <v>532</v>
      </c>
      <c r="F34" s="2" t="s">
        <v>532</v>
      </c>
      <c r="G34" s="2" t="s">
        <v>532</v>
      </c>
      <c r="H34" s="2" t="s">
        <v>79</v>
      </c>
    </row>
    <row r="35" spans="1:8" x14ac:dyDescent="0.35">
      <c r="A35" s="2" t="s">
        <v>663</v>
      </c>
      <c r="C35" s="2" t="s">
        <v>532</v>
      </c>
      <c r="G35" s="2" t="s">
        <v>532</v>
      </c>
      <c r="H35" s="2" t="s">
        <v>79</v>
      </c>
    </row>
    <row r="36" spans="1:8" x14ac:dyDescent="0.35">
      <c r="A36" s="2" t="s">
        <v>209</v>
      </c>
      <c r="F36" s="2" t="s">
        <v>532</v>
      </c>
      <c r="G36" s="2" t="s">
        <v>532</v>
      </c>
      <c r="H36" s="2" t="s">
        <v>79</v>
      </c>
    </row>
    <row r="37" spans="1:8" x14ac:dyDescent="0.35">
      <c r="A37" s="2" t="s">
        <v>190</v>
      </c>
      <c r="F37" s="2" t="s">
        <v>532</v>
      </c>
      <c r="H37" s="2" t="s">
        <v>79</v>
      </c>
    </row>
    <row r="38" spans="1:8" x14ac:dyDescent="0.35">
      <c r="A38" s="2" t="s">
        <v>664</v>
      </c>
      <c r="F38" s="2" t="s">
        <v>532</v>
      </c>
      <c r="G38" s="2" t="s">
        <v>532</v>
      </c>
      <c r="H38" s="2" t="s">
        <v>79</v>
      </c>
    </row>
    <row r="39" spans="1:8" x14ac:dyDescent="0.35">
      <c r="A39" s="2" t="s">
        <v>665</v>
      </c>
      <c r="B39" s="2" t="s">
        <v>532</v>
      </c>
      <c r="C39" s="2"/>
      <c r="D39" s="2"/>
      <c r="E39" s="2"/>
      <c r="F39" s="2" t="s">
        <v>532</v>
      </c>
      <c r="G39" s="2"/>
      <c r="H39" s="2" t="s">
        <v>451</v>
      </c>
    </row>
    <row r="40" spans="1:8" x14ac:dyDescent="0.35">
      <c r="A40" s="2" t="s">
        <v>666</v>
      </c>
      <c r="B40" s="2"/>
      <c r="C40" s="2"/>
      <c r="D40" s="2"/>
      <c r="E40" s="2"/>
      <c r="F40" s="2" t="s">
        <v>532</v>
      </c>
      <c r="G40" s="2"/>
      <c r="H40" s="2" t="s">
        <v>451</v>
      </c>
    </row>
    <row r="41" spans="1:8" x14ac:dyDescent="0.35">
      <c r="A41" s="2" t="s">
        <v>153</v>
      </c>
      <c r="B41" s="2" t="s">
        <v>532</v>
      </c>
      <c r="C41" s="2" t="s">
        <v>532</v>
      </c>
      <c r="D41" s="2"/>
      <c r="E41" s="2"/>
      <c r="F41" s="2" t="s">
        <v>532</v>
      </c>
      <c r="G41" s="2" t="s">
        <v>532</v>
      </c>
      <c r="H41" s="2" t="s">
        <v>171</v>
      </c>
    </row>
    <row r="42" spans="1:8" x14ac:dyDescent="0.35">
      <c r="A42" s="2" t="s">
        <v>178</v>
      </c>
      <c r="B42" s="2" t="s">
        <v>532</v>
      </c>
      <c r="C42" s="2" t="s">
        <v>532</v>
      </c>
      <c r="F42" s="2" t="s">
        <v>532</v>
      </c>
      <c r="H42" s="2" t="s">
        <v>171</v>
      </c>
    </row>
    <row r="43" spans="1:8" x14ac:dyDescent="0.35">
      <c r="A43" s="2" t="s">
        <v>667</v>
      </c>
      <c r="F43" s="2" t="s">
        <v>532</v>
      </c>
      <c r="G43" s="2" t="s">
        <v>532</v>
      </c>
      <c r="H43" s="2" t="s">
        <v>668</v>
      </c>
    </row>
    <row r="44" spans="1:8" x14ac:dyDescent="0.35">
      <c r="A44" s="2" t="s">
        <v>669</v>
      </c>
      <c r="G44" s="2" t="s">
        <v>532</v>
      </c>
      <c r="H44" s="2" t="s">
        <v>668</v>
      </c>
    </row>
    <row r="45" spans="1:8" x14ac:dyDescent="0.35">
      <c r="A45" s="2" t="s">
        <v>276</v>
      </c>
      <c r="C45" s="2" t="s">
        <v>532</v>
      </c>
      <c r="D45" s="2"/>
      <c r="E45" s="2" t="s">
        <v>532</v>
      </c>
      <c r="F45" s="2" t="s">
        <v>532</v>
      </c>
      <c r="G45" s="2" t="s">
        <v>532</v>
      </c>
      <c r="H45" s="2" t="s">
        <v>115</v>
      </c>
    </row>
    <row r="46" spans="1:8" x14ac:dyDescent="0.35">
      <c r="A46" s="2" t="s">
        <v>670</v>
      </c>
      <c r="F46" s="2" t="s">
        <v>532</v>
      </c>
      <c r="H46" s="2" t="s">
        <v>97</v>
      </c>
    </row>
    <row r="47" spans="1:8" x14ac:dyDescent="0.35">
      <c r="A47" s="2" t="s">
        <v>671</v>
      </c>
      <c r="F47" s="2" t="s">
        <v>532</v>
      </c>
      <c r="H47" s="2" t="s">
        <v>145</v>
      </c>
    </row>
    <row r="48" spans="1:8" x14ac:dyDescent="0.35">
      <c r="A48" s="2" t="s">
        <v>672</v>
      </c>
      <c r="F48" s="2" t="s">
        <v>532</v>
      </c>
      <c r="H48" s="2" t="s">
        <v>171</v>
      </c>
    </row>
    <row r="49" spans="1:29" x14ac:dyDescent="0.35">
      <c r="A49" s="2" t="s">
        <v>166</v>
      </c>
      <c r="C49" s="2" t="s">
        <v>532</v>
      </c>
      <c r="F49" s="2" t="s">
        <v>532</v>
      </c>
      <c r="G49" s="2" t="s">
        <v>532</v>
      </c>
      <c r="H49" s="2" t="s">
        <v>641</v>
      </c>
    </row>
    <row r="50" spans="1:29" x14ac:dyDescent="0.35">
      <c r="A50" s="2" t="s">
        <v>155</v>
      </c>
      <c r="C50" s="2" t="s">
        <v>532</v>
      </c>
      <c r="D50" s="2"/>
      <c r="E50" s="2"/>
      <c r="F50" s="2" t="s">
        <v>532</v>
      </c>
      <c r="G50" s="2" t="s">
        <v>532</v>
      </c>
      <c r="H50" s="2" t="s">
        <v>641</v>
      </c>
    </row>
    <row r="51" spans="1:29" x14ac:dyDescent="0.35">
      <c r="A51" s="2" t="s">
        <v>673</v>
      </c>
      <c r="F51" s="2" t="s">
        <v>532</v>
      </c>
      <c r="H51" s="2" t="s">
        <v>115</v>
      </c>
      <c r="AB51" t="s">
        <v>674</v>
      </c>
      <c r="AC51" t="s">
        <v>675</v>
      </c>
    </row>
    <row r="52" spans="1:29" x14ac:dyDescent="0.35">
      <c r="A52" s="2" t="s">
        <v>487</v>
      </c>
      <c r="B52" s="2" t="s">
        <v>532</v>
      </c>
      <c r="F52" s="2" t="s">
        <v>532</v>
      </c>
      <c r="H52" s="2" t="s">
        <v>181</v>
      </c>
    </row>
  </sheetData>
  <autoFilter ref="A5:H5" xr:uid="{FE498212-057A-44F5-850E-8C19388D34B7}"/>
  <mergeCells count="1">
    <mergeCell ref="A4:H4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2365-2062-48CE-A49A-3BBB82ADACDC}">
  <sheetPr>
    <tabColor theme="4" tint="-0.499984740745262"/>
  </sheetPr>
  <dimension ref="A1:H24"/>
  <sheetViews>
    <sheetView workbookViewId="0">
      <selection activeCell="E2" sqref="E2"/>
    </sheetView>
  </sheetViews>
  <sheetFormatPr defaultRowHeight="15" x14ac:dyDescent="0.35"/>
  <cols>
    <col min="1" max="1" width="25" customWidth="1"/>
    <col min="2" max="2" width="15.81640625" customWidth="1"/>
    <col min="3" max="3" width="17" customWidth="1"/>
    <col min="4" max="4" width="13.453125" customWidth="1"/>
    <col min="5" max="5" width="14" customWidth="1"/>
    <col min="6" max="6" width="95.08984375" customWidth="1"/>
  </cols>
  <sheetData>
    <row r="1" spans="1:8" ht="52.5" customHeight="1" x14ac:dyDescent="0.35">
      <c r="A1" s="8" t="s">
        <v>676</v>
      </c>
      <c r="B1" s="8"/>
      <c r="C1" s="8"/>
      <c r="D1" s="8"/>
      <c r="F1" s="4"/>
      <c r="G1" s="4"/>
      <c r="H1" s="4"/>
    </row>
    <row r="2" spans="1:8" s="11" customFormat="1" x14ac:dyDescent="0.35">
      <c r="A2" s="11" t="s">
        <v>8</v>
      </c>
      <c r="B2" s="11" t="s">
        <v>502</v>
      </c>
      <c r="C2" s="11" t="s">
        <v>6</v>
      </c>
      <c r="D2" s="11" t="s">
        <v>503</v>
      </c>
      <c r="E2" s="11" t="s">
        <v>505</v>
      </c>
      <c r="F2" s="11" t="s">
        <v>448</v>
      </c>
    </row>
    <row r="3" spans="1:8" x14ac:dyDescent="0.35">
      <c r="A3" t="s">
        <v>115</v>
      </c>
      <c r="B3" t="s">
        <v>677</v>
      </c>
      <c r="C3" s="15" t="s">
        <v>678</v>
      </c>
      <c r="D3" t="s">
        <v>679</v>
      </c>
      <c r="E3" t="s">
        <v>680</v>
      </c>
      <c r="F3" t="s">
        <v>681</v>
      </c>
    </row>
    <row r="4" spans="1:8" x14ac:dyDescent="0.35">
      <c r="A4" t="s">
        <v>682</v>
      </c>
      <c r="B4" t="s">
        <v>683</v>
      </c>
      <c r="C4" t="s">
        <v>684</v>
      </c>
      <c r="D4" t="s">
        <v>679</v>
      </c>
      <c r="E4" t="s">
        <v>680</v>
      </c>
      <c r="F4" t="s">
        <v>685</v>
      </c>
    </row>
    <row r="5" spans="1:8" x14ac:dyDescent="0.35">
      <c r="A5" t="s">
        <v>682</v>
      </c>
      <c r="B5" t="s">
        <v>683</v>
      </c>
      <c r="C5" t="s">
        <v>684</v>
      </c>
      <c r="D5" t="s">
        <v>679</v>
      </c>
      <c r="E5" t="s">
        <v>680</v>
      </c>
      <c r="F5" t="s">
        <v>686</v>
      </c>
    </row>
    <row r="6" spans="1:8" x14ac:dyDescent="0.35">
      <c r="A6" t="s">
        <v>687</v>
      </c>
      <c r="B6" t="s">
        <v>683</v>
      </c>
      <c r="C6" t="s">
        <v>684</v>
      </c>
      <c r="D6" t="s">
        <v>679</v>
      </c>
      <c r="E6" t="s">
        <v>680</v>
      </c>
      <c r="F6" t="s">
        <v>688</v>
      </c>
    </row>
    <row r="7" spans="1:8" x14ac:dyDescent="0.35">
      <c r="A7" t="s">
        <v>689</v>
      </c>
      <c r="B7" t="s">
        <v>683</v>
      </c>
      <c r="C7" t="s">
        <v>684</v>
      </c>
      <c r="D7" t="s">
        <v>679</v>
      </c>
      <c r="E7" t="s">
        <v>680</v>
      </c>
      <c r="F7" t="s">
        <v>690</v>
      </c>
    </row>
    <row r="8" spans="1:8" x14ac:dyDescent="0.35">
      <c r="A8" t="s">
        <v>687</v>
      </c>
      <c r="B8" t="s">
        <v>683</v>
      </c>
      <c r="C8" t="s">
        <v>684</v>
      </c>
      <c r="D8" t="s">
        <v>679</v>
      </c>
      <c r="E8" t="s">
        <v>680</v>
      </c>
      <c r="F8" t="s">
        <v>691</v>
      </c>
    </row>
    <row r="9" spans="1:8" x14ac:dyDescent="0.35">
      <c r="A9" t="s">
        <v>30</v>
      </c>
      <c r="B9" t="s">
        <v>683</v>
      </c>
      <c r="C9" t="s">
        <v>684</v>
      </c>
      <c r="D9" t="s">
        <v>679</v>
      </c>
      <c r="E9" t="s">
        <v>680</v>
      </c>
      <c r="F9" t="s">
        <v>692</v>
      </c>
    </row>
    <row r="10" spans="1:8" x14ac:dyDescent="0.35">
      <c r="A10" t="s">
        <v>67</v>
      </c>
      <c r="B10" t="s">
        <v>683</v>
      </c>
      <c r="C10" t="s">
        <v>684</v>
      </c>
      <c r="D10" t="s">
        <v>679</v>
      </c>
      <c r="E10" t="s">
        <v>680</v>
      </c>
      <c r="F10" t="s">
        <v>693</v>
      </c>
    </row>
    <row r="11" spans="1:8" x14ac:dyDescent="0.35">
      <c r="A11" t="s">
        <v>67</v>
      </c>
      <c r="B11" t="s">
        <v>683</v>
      </c>
      <c r="C11" t="s">
        <v>684</v>
      </c>
      <c r="D11" t="s">
        <v>679</v>
      </c>
      <c r="E11" t="s">
        <v>680</v>
      </c>
      <c r="F11" t="s">
        <v>694</v>
      </c>
    </row>
    <row r="12" spans="1:8" x14ac:dyDescent="0.35">
      <c r="A12" t="s">
        <v>695</v>
      </c>
      <c r="B12" t="s">
        <v>683</v>
      </c>
      <c r="C12" t="s">
        <v>684</v>
      </c>
      <c r="D12" t="s">
        <v>679</v>
      </c>
      <c r="E12" t="s">
        <v>680</v>
      </c>
      <c r="F12" t="s">
        <v>696</v>
      </c>
    </row>
    <row r="13" spans="1:8" x14ac:dyDescent="0.35">
      <c r="A13" t="s">
        <v>697</v>
      </c>
      <c r="B13" t="s">
        <v>683</v>
      </c>
      <c r="C13" t="s">
        <v>684</v>
      </c>
      <c r="D13" t="s">
        <v>679</v>
      </c>
      <c r="E13" t="s">
        <v>680</v>
      </c>
      <c r="F13" t="s">
        <v>698</v>
      </c>
    </row>
    <row r="14" spans="1:8" x14ac:dyDescent="0.35">
      <c r="A14" t="s">
        <v>699</v>
      </c>
      <c r="B14" t="s">
        <v>683</v>
      </c>
      <c r="C14" t="s">
        <v>684</v>
      </c>
      <c r="D14" t="s">
        <v>679</v>
      </c>
      <c r="E14" t="s">
        <v>680</v>
      </c>
      <c r="F14" t="s">
        <v>700</v>
      </c>
    </row>
    <row r="15" spans="1:8" x14ac:dyDescent="0.35">
      <c r="A15" t="s">
        <v>701</v>
      </c>
      <c r="B15" t="s">
        <v>683</v>
      </c>
      <c r="C15" t="s">
        <v>684</v>
      </c>
      <c r="D15" t="s">
        <v>679</v>
      </c>
      <c r="E15" t="s">
        <v>680</v>
      </c>
      <c r="F15" t="s">
        <v>702</v>
      </c>
    </row>
    <row r="16" spans="1:8" x14ac:dyDescent="0.35">
      <c r="A16" t="s">
        <v>703</v>
      </c>
      <c r="B16" t="s">
        <v>683</v>
      </c>
      <c r="C16" t="s">
        <v>684</v>
      </c>
      <c r="D16" t="s">
        <v>679</v>
      </c>
      <c r="E16" t="s">
        <v>680</v>
      </c>
      <c r="F16" t="s">
        <v>704</v>
      </c>
    </row>
    <row r="17" spans="1:6" x14ac:dyDescent="0.35">
      <c r="A17" t="s">
        <v>703</v>
      </c>
      <c r="B17" t="s">
        <v>683</v>
      </c>
      <c r="C17" t="s">
        <v>684</v>
      </c>
      <c r="D17" t="s">
        <v>679</v>
      </c>
      <c r="E17" t="s">
        <v>680</v>
      </c>
      <c r="F17" t="s">
        <v>705</v>
      </c>
    </row>
    <row r="18" spans="1:6" x14ac:dyDescent="0.35">
      <c r="A18" t="s">
        <v>67</v>
      </c>
      <c r="B18" t="s">
        <v>683</v>
      </c>
      <c r="C18" t="s">
        <v>684</v>
      </c>
      <c r="D18" t="s">
        <v>679</v>
      </c>
      <c r="E18" t="s">
        <v>680</v>
      </c>
      <c r="F18" t="s">
        <v>706</v>
      </c>
    </row>
    <row r="19" spans="1:6" x14ac:dyDescent="0.35">
      <c r="A19" t="s">
        <v>266</v>
      </c>
      <c r="B19" t="s">
        <v>683</v>
      </c>
      <c r="C19" t="s">
        <v>707</v>
      </c>
      <c r="D19" t="s">
        <v>708</v>
      </c>
      <c r="E19" t="s">
        <v>709</v>
      </c>
      <c r="F19" t="s">
        <v>710</v>
      </c>
    </row>
    <row r="20" spans="1:6" x14ac:dyDescent="0.35">
      <c r="A20" t="s">
        <v>514</v>
      </c>
      <c r="B20" t="s">
        <v>683</v>
      </c>
      <c r="C20" t="s">
        <v>707</v>
      </c>
      <c r="D20" t="s">
        <v>711</v>
      </c>
      <c r="E20" t="s">
        <v>709</v>
      </c>
      <c r="F20" t="s">
        <v>712</v>
      </c>
    </row>
    <row r="21" spans="1:6" x14ac:dyDescent="0.35">
      <c r="A21" t="s">
        <v>713</v>
      </c>
      <c r="B21" t="s">
        <v>683</v>
      </c>
      <c r="C21" t="s">
        <v>707</v>
      </c>
      <c r="D21" t="s">
        <v>714</v>
      </c>
      <c r="E21" t="s">
        <v>709</v>
      </c>
      <c r="F21" t="s">
        <v>715</v>
      </c>
    </row>
    <row r="22" spans="1:6" x14ac:dyDescent="0.35">
      <c r="A22" t="s">
        <v>79</v>
      </c>
      <c r="B22" t="s">
        <v>683</v>
      </c>
      <c r="C22" t="s">
        <v>707</v>
      </c>
      <c r="D22" t="s">
        <v>716</v>
      </c>
      <c r="E22" t="s">
        <v>709</v>
      </c>
      <c r="F22" t="s">
        <v>717</v>
      </c>
    </row>
    <row r="24" spans="1:6" x14ac:dyDescent="0.35">
      <c r="A24" s="39" t="s">
        <v>597</v>
      </c>
      <c r="B24" s="39" t="s">
        <v>718</v>
      </c>
      <c r="C24" s="39"/>
    </row>
  </sheetData>
  <autoFilter ref="A2:K2" xr:uid="{3C232365-2062-48CE-A49A-3BBB82ADACDC}"/>
  <hyperlinks>
    <hyperlink ref="C3" r:id="rId1" display="http://10.1.0.248/" xr:uid="{95F076D8-C1B3-43BE-ABA2-BEEED49FC77C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8A4D-C458-4E48-A662-BFAE2A790D93}">
  <sheetPr>
    <tabColor theme="4" tint="-0.499984740745262"/>
  </sheetPr>
  <dimension ref="A1:F8"/>
  <sheetViews>
    <sheetView tabSelected="1" workbookViewId="0">
      <selection activeCell="B6" sqref="B6"/>
    </sheetView>
  </sheetViews>
  <sheetFormatPr defaultRowHeight="15" x14ac:dyDescent="0.35"/>
  <cols>
    <col min="1" max="1" width="20" customWidth="1"/>
    <col min="2" max="2" width="14.453125" customWidth="1"/>
    <col min="4" max="4" width="15.90625" customWidth="1"/>
  </cols>
  <sheetData>
    <row r="1" spans="1:6" ht="50.25" customHeight="1" x14ac:dyDescent="0.35">
      <c r="A1" s="8" t="s">
        <v>719</v>
      </c>
      <c r="B1" s="8"/>
      <c r="C1" s="8"/>
      <c r="D1" s="8"/>
      <c r="E1" s="4"/>
    </row>
    <row r="2" spans="1:6" s="11" customFormat="1" x14ac:dyDescent="0.3">
      <c r="A2" s="25" t="s">
        <v>1</v>
      </c>
      <c r="B2" s="25" t="s">
        <v>3</v>
      </c>
      <c r="C2" s="25" t="s">
        <v>5</v>
      </c>
      <c r="D2" s="25" t="s">
        <v>6</v>
      </c>
      <c r="E2" s="25" t="s">
        <v>720</v>
      </c>
      <c r="F2" s="26"/>
    </row>
    <row r="3" spans="1:6" x14ac:dyDescent="0.35">
      <c r="A3" s="2" t="s">
        <v>721</v>
      </c>
      <c r="B3" s="2" t="s">
        <v>79</v>
      </c>
      <c r="C3" s="2" t="s">
        <v>722</v>
      </c>
      <c r="D3" s="2" t="s">
        <v>723</v>
      </c>
    </row>
    <row r="4" spans="1:6" x14ac:dyDescent="0.35">
      <c r="A4" s="2" t="s">
        <v>724</v>
      </c>
      <c r="B4" s="2" t="s">
        <v>72</v>
      </c>
      <c r="C4" s="2" t="s">
        <v>725</v>
      </c>
      <c r="D4" s="2" t="s">
        <v>726</v>
      </c>
    </row>
    <row r="5" spans="1:6" x14ac:dyDescent="0.35">
      <c r="A5" s="2" t="s">
        <v>727</v>
      </c>
      <c r="B5" s="2" t="s">
        <v>728</v>
      </c>
      <c r="C5" s="2" t="s">
        <v>722</v>
      </c>
      <c r="D5" s="2" t="s">
        <v>723</v>
      </c>
    </row>
    <row r="6" spans="1:6" x14ac:dyDescent="0.35">
      <c r="A6" s="2" t="s">
        <v>729</v>
      </c>
      <c r="B6" s="2" t="s">
        <v>730</v>
      </c>
      <c r="C6" s="2" t="s">
        <v>731</v>
      </c>
      <c r="D6" s="2" t="s">
        <v>732</v>
      </c>
    </row>
    <row r="7" spans="1:6" x14ac:dyDescent="0.35">
      <c r="A7" s="2" t="s">
        <v>733</v>
      </c>
      <c r="B7" s="2" t="s">
        <v>734</v>
      </c>
      <c r="C7" s="2" t="s">
        <v>735</v>
      </c>
      <c r="E7" s="2">
        <v>65</v>
      </c>
    </row>
    <row r="8" spans="1:6" x14ac:dyDescent="0.35">
      <c r="A8" s="2" t="s">
        <v>736</v>
      </c>
      <c r="B8" s="2" t="s">
        <v>737</v>
      </c>
      <c r="C8" s="2" t="s">
        <v>735</v>
      </c>
      <c r="E8" s="2">
        <v>65</v>
      </c>
    </row>
  </sheetData>
  <dataValidations count="4">
    <dataValidation allowBlank="1" showInputMessage="1" showErrorMessage="1" prompt="Insira a largura do compartimento nesta coluna" sqref="E2:F2" xr:uid="{B9B2E70D-E9C9-4BDC-8EED-52CFC4A3AA14}"/>
    <dataValidation allowBlank="1" showInputMessage="1" showErrorMessage="1" prompt="Insira uma descrição do compartimento nesta coluna" sqref="C2:D2" xr:uid="{BCCB29B1-56CF-479A-9BE5-F1EFE17FF633}"/>
    <dataValidation allowBlank="1" showInputMessage="1" showErrorMessage="1" prompt="Inserir o número do compartimento nesta coluna" sqref="A2:B2" xr:uid="{0BF95B6B-F8A9-4C73-AC46-349C529CBB06}"/>
    <dataValidation allowBlank="1" showInputMessage="1" showErrorMessage="1" prompt="Insira o local do compartimento nesta coluna" sqref="D2" xr:uid="{8052C86A-8B03-4C90-AFAF-77E95A79F35C}"/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DE56-70AD-4847-995E-BE79306FC792}">
  <sheetPr>
    <tabColor theme="4" tint="-0.499984740745262"/>
  </sheetPr>
  <dimension ref="A1:H1048576"/>
  <sheetViews>
    <sheetView workbookViewId="0">
      <selection activeCell="A7" sqref="A7:F7"/>
    </sheetView>
  </sheetViews>
  <sheetFormatPr defaultRowHeight="15" x14ac:dyDescent="0.35"/>
  <cols>
    <col min="1" max="1" width="23.36328125" customWidth="1"/>
    <col min="2" max="2" width="20" customWidth="1"/>
    <col min="3" max="3" width="15.90625" customWidth="1"/>
    <col min="4" max="4" width="16.08984375" customWidth="1"/>
    <col min="5" max="5" width="41.54296875" customWidth="1"/>
    <col min="6" max="6" width="13.36328125" customWidth="1"/>
  </cols>
  <sheetData>
    <row r="1" spans="1:8" ht="52.5" customHeight="1" x14ac:dyDescent="0.35">
      <c r="A1" s="8" t="s">
        <v>738</v>
      </c>
      <c r="C1" s="8"/>
      <c r="D1" s="8"/>
      <c r="E1" s="8"/>
      <c r="F1" s="4"/>
      <c r="G1" s="4"/>
      <c r="H1" s="4"/>
    </row>
    <row r="2" spans="1:8" s="10" customFormat="1" x14ac:dyDescent="0.35">
      <c r="A2" s="432" t="s">
        <v>739</v>
      </c>
      <c r="B2" s="432" t="s">
        <v>740</v>
      </c>
      <c r="C2" s="432" t="s">
        <v>741</v>
      </c>
      <c r="D2" s="432" t="s">
        <v>742</v>
      </c>
      <c r="E2" s="432" t="s">
        <v>743</v>
      </c>
      <c r="F2" s="432" t="s">
        <v>744</v>
      </c>
      <c r="G2" s="432"/>
      <c r="H2" s="432"/>
    </row>
    <row r="3" spans="1:8" x14ac:dyDescent="0.35">
      <c r="A3" t="s">
        <v>745</v>
      </c>
      <c r="B3" t="s">
        <v>746</v>
      </c>
      <c r="C3" t="s">
        <v>747</v>
      </c>
      <c r="D3" s="246">
        <v>1070</v>
      </c>
      <c r="E3" s="2" t="s">
        <v>748</v>
      </c>
      <c r="F3">
        <v>17</v>
      </c>
    </row>
    <row r="4" spans="1:8" x14ac:dyDescent="0.35">
      <c r="A4" t="s">
        <v>749</v>
      </c>
      <c r="B4" t="s">
        <v>746</v>
      </c>
      <c r="C4" t="s">
        <v>747</v>
      </c>
      <c r="D4" s="246">
        <v>570</v>
      </c>
      <c r="E4" s="2" t="s">
        <v>750</v>
      </c>
      <c r="F4">
        <v>27</v>
      </c>
    </row>
    <row r="5" spans="1:8" x14ac:dyDescent="0.35">
      <c r="A5" t="s">
        <v>751</v>
      </c>
      <c r="B5" t="s">
        <v>752</v>
      </c>
      <c r="C5" t="s">
        <v>747</v>
      </c>
      <c r="D5" s="246">
        <v>214.92</v>
      </c>
      <c r="E5" s="2" t="s">
        <v>753</v>
      </c>
      <c r="F5">
        <v>10</v>
      </c>
    </row>
    <row r="6" spans="1:8" x14ac:dyDescent="0.35">
      <c r="A6" t="s">
        <v>754</v>
      </c>
      <c r="B6" t="s">
        <v>755</v>
      </c>
      <c r="C6" t="s">
        <v>747</v>
      </c>
      <c r="D6" s="246">
        <v>612</v>
      </c>
      <c r="E6" s="2" t="s">
        <v>756</v>
      </c>
      <c r="F6">
        <v>9</v>
      </c>
    </row>
    <row r="7" spans="1:8" x14ac:dyDescent="0.35">
      <c r="A7" t="s">
        <v>757</v>
      </c>
      <c r="B7" t="s">
        <v>758</v>
      </c>
      <c r="C7" t="s">
        <v>747</v>
      </c>
      <c r="D7" s="246">
        <v>1653</v>
      </c>
      <c r="E7" s="2" t="s">
        <v>759</v>
      </c>
      <c r="F7">
        <v>20</v>
      </c>
    </row>
    <row r="8" spans="1:8" x14ac:dyDescent="0.35">
      <c r="A8" t="s">
        <v>760</v>
      </c>
      <c r="B8" t="s">
        <v>761</v>
      </c>
      <c r="C8" t="s">
        <v>762</v>
      </c>
      <c r="D8" s="246">
        <v>1500</v>
      </c>
      <c r="E8" s="2" t="s">
        <v>763</v>
      </c>
      <c r="F8" s="2" t="s">
        <v>764</v>
      </c>
    </row>
    <row r="9" spans="1:8" x14ac:dyDescent="0.35">
      <c r="A9" t="s">
        <v>765</v>
      </c>
      <c r="B9" t="s">
        <v>766</v>
      </c>
      <c r="C9" t="s">
        <v>767</v>
      </c>
      <c r="D9" s="246">
        <v>10019.51</v>
      </c>
      <c r="E9" s="2" t="s">
        <v>768</v>
      </c>
      <c r="F9" s="17">
        <v>45447</v>
      </c>
    </row>
    <row r="10" spans="1:8" x14ac:dyDescent="0.35">
      <c r="A10" t="s">
        <v>769</v>
      </c>
      <c r="B10" t="s">
        <v>766</v>
      </c>
      <c r="C10" t="s">
        <v>747</v>
      </c>
      <c r="D10" s="246">
        <v>1373.4</v>
      </c>
      <c r="E10" s="2" t="s">
        <v>770</v>
      </c>
      <c r="F10" s="2" t="s">
        <v>764</v>
      </c>
    </row>
    <row r="11" spans="1:8" x14ac:dyDescent="0.35">
      <c r="A11" t="s">
        <v>771</v>
      </c>
      <c r="B11" t="s">
        <v>772</v>
      </c>
      <c r="C11" t="s">
        <v>762</v>
      </c>
      <c r="D11" s="246">
        <v>4000</v>
      </c>
      <c r="E11" s="2" t="s">
        <v>773</v>
      </c>
      <c r="F11" s="2" t="s">
        <v>764</v>
      </c>
    </row>
    <row r="12" spans="1:8" x14ac:dyDescent="0.35">
      <c r="A12" t="s">
        <v>771</v>
      </c>
      <c r="B12" t="s">
        <v>772</v>
      </c>
      <c r="C12" t="s">
        <v>762</v>
      </c>
      <c r="D12" s="246">
        <v>4000</v>
      </c>
      <c r="E12" s="2" t="s">
        <v>774</v>
      </c>
      <c r="F12" s="2" t="s">
        <v>764</v>
      </c>
    </row>
    <row r="13" spans="1:8" x14ac:dyDescent="0.35">
      <c r="A13" t="s">
        <v>771</v>
      </c>
      <c r="B13" t="s">
        <v>772</v>
      </c>
      <c r="C13" t="s">
        <v>762</v>
      </c>
      <c r="D13" s="246">
        <v>4000</v>
      </c>
      <c r="E13" s="2" t="s">
        <v>775</v>
      </c>
      <c r="F13" s="2" t="s">
        <v>764</v>
      </c>
    </row>
    <row r="14" spans="1:8" x14ac:dyDescent="0.35">
      <c r="A14" t="s">
        <v>771</v>
      </c>
      <c r="B14" t="s">
        <v>772</v>
      </c>
      <c r="C14" t="s">
        <v>762</v>
      </c>
      <c r="D14" s="246">
        <v>4000</v>
      </c>
      <c r="E14" s="2" t="s">
        <v>776</v>
      </c>
      <c r="F14" s="2" t="s">
        <v>764</v>
      </c>
    </row>
    <row r="15" spans="1:8" x14ac:dyDescent="0.35">
      <c r="A15" t="s">
        <v>771</v>
      </c>
      <c r="B15" t="s">
        <v>772</v>
      </c>
      <c r="C15" t="s">
        <v>762</v>
      </c>
      <c r="D15" s="246">
        <v>4000</v>
      </c>
      <c r="E15" s="2" t="s">
        <v>777</v>
      </c>
      <c r="F15" s="2" t="s">
        <v>764</v>
      </c>
    </row>
    <row r="16" spans="1:8" x14ac:dyDescent="0.35">
      <c r="A16" t="s">
        <v>778</v>
      </c>
      <c r="B16" t="s">
        <v>779</v>
      </c>
      <c r="C16" t="s">
        <v>767</v>
      </c>
      <c r="D16" s="246">
        <v>1598.4</v>
      </c>
      <c r="E16" s="2" t="s">
        <v>780</v>
      </c>
      <c r="F16" s="2" t="s">
        <v>764</v>
      </c>
    </row>
    <row r="17" spans="1:6" x14ac:dyDescent="0.35">
      <c r="A17" s="18" t="s">
        <v>781</v>
      </c>
      <c r="B17" s="18" t="s">
        <v>781</v>
      </c>
      <c r="C17" t="s">
        <v>747</v>
      </c>
      <c r="D17" s="246">
        <v>199.99</v>
      </c>
      <c r="E17" s="2" t="s">
        <v>782</v>
      </c>
      <c r="F17">
        <v>5</v>
      </c>
    </row>
    <row r="18" spans="1:6" x14ac:dyDescent="0.35">
      <c r="A18" t="s">
        <v>783</v>
      </c>
      <c r="B18" t="s">
        <v>784</v>
      </c>
      <c r="C18" t="s">
        <v>762</v>
      </c>
      <c r="D18" s="246">
        <v>114000</v>
      </c>
      <c r="E18" s="2" t="s">
        <v>785</v>
      </c>
      <c r="F18" s="2" t="s">
        <v>764</v>
      </c>
    </row>
    <row r="19" spans="1:6" x14ac:dyDescent="0.35">
      <c r="A19" t="s">
        <v>783</v>
      </c>
      <c r="B19" t="s">
        <v>784</v>
      </c>
      <c r="C19" t="s">
        <v>762</v>
      </c>
      <c r="D19" s="246">
        <v>53000</v>
      </c>
      <c r="E19" s="2" t="s">
        <v>786</v>
      </c>
      <c r="F19" s="2" t="s">
        <v>764</v>
      </c>
    </row>
    <row r="20" spans="1:6" x14ac:dyDescent="0.35">
      <c r="A20" t="s">
        <v>783</v>
      </c>
      <c r="B20" t="s">
        <v>784</v>
      </c>
      <c r="C20" t="s">
        <v>747</v>
      </c>
      <c r="D20" s="246">
        <v>20433.72</v>
      </c>
      <c r="E20" s="2" t="s">
        <v>787</v>
      </c>
      <c r="F20" s="21">
        <v>7</v>
      </c>
    </row>
    <row r="21" spans="1:6" x14ac:dyDescent="0.35">
      <c r="D21" s="16"/>
    </row>
    <row r="1048576" spans="2:2" x14ac:dyDescent="0.35">
      <c r="B1048576" t="s">
        <v>766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19CA-1E4C-43E9-98D5-47E878BD86AF}">
  <sheetPr>
    <tabColor theme="4" tint="0.39997558519241921"/>
  </sheetPr>
  <dimension ref="A1:H47"/>
  <sheetViews>
    <sheetView zoomScaleNormal="100" workbookViewId="0">
      <selection activeCell="E3" sqref="E3"/>
    </sheetView>
  </sheetViews>
  <sheetFormatPr defaultRowHeight="15" x14ac:dyDescent="0.35"/>
  <cols>
    <col min="1" max="1" width="18" customWidth="1"/>
    <col min="2" max="2" width="13.453125" customWidth="1"/>
    <col min="3" max="3" width="17.90625" customWidth="1"/>
    <col min="4" max="4" width="35.54296875" customWidth="1"/>
    <col min="5" max="5" width="16.453125" customWidth="1"/>
    <col min="6" max="6" width="14.6328125" customWidth="1"/>
    <col min="7" max="7" width="25.453125" customWidth="1"/>
  </cols>
  <sheetData>
    <row r="1" spans="1:8" ht="52.5" customHeight="1" thickBot="1" x14ac:dyDescent="0.4">
      <c r="A1" s="49" t="s">
        <v>788</v>
      </c>
      <c r="B1" s="2"/>
      <c r="C1" s="49"/>
      <c r="D1" s="49"/>
      <c r="E1" s="49"/>
      <c r="F1" s="256"/>
      <c r="G1" s="4"/>
      <c r="H1" s="4"/>
    </row>
    <row r="2" spans="1:8" s="10" customFormat="1" x14ac:dyDescent="0.35">
      <c r="A2" s="431" t="s">
        <v>2</v>
      </c>
      <c r="B2" s="431" t="s">
        <v>3</v>
      </c>
      <c r="C2" s="431" t="s">
        <v>502</v>
      </c>
      <c r="D2" s="431" t="s">
        <v>6</v>
      </c>
      <c r="E2" s="431" t="s">
        <v>789</v>
      </c>
      <c r="F2" s="431" t="s">
        <v>11</v>
      </c>
      <c r="G2" s="432"/>
      <c r="H2" s="432"/>
    </row>
    <row r="3" spans="1:8" ht="21" customHeight="1" x14ac:dyDescent="0.35">
      <c r="A3" s="92" t="s">
        <v>790</v>
      </c>
      <c r="B3" s="92" t="s">
        <v>791</v>
      </c>
      <c r="C3" s="92" t="s">
        <v>792</v>
      </c>
      <c r="D3" s="92" t="s">
        <v>793</v>
      </c>
      <c r="E3" s="92" t="s">
        <v>794</v>
      </c>
      <c r="F3" s="246">
        <v>1049</v>
      </c>
    </row>
    <row r="4" spans="1:8" x14ac:dyDescent="0.35">
      <c r="A4" s="92" t="s">
        <v>795</v>
      </c>
      <c r="B4" s="92" t="s">
        <v>796</v>
      </c>
      <c r="C4" s="92" t="s">
        <v>792</v>
      </c>
      <c r="D4" s="92" t="s">
        <v>797</v>
      </c>
      <c r="E4" s="92" t="s">
        <v>798</v>
      </c>
      <c r="F4" s="246">
        <v>1375.78</v>
      </c>
    </row>
    <row r="5" spans="1:8" x14ac:dyDescent="0.35">
      <c r="A5" s="92" t="s">
        <v>799</v>
      </c>
      <c r="B5" s="92" t="s">
        <v>800</v>
      </c>
      <c r="C5" s="92" t="s">
        <v>792</v>
      </c>
      <c r="D5" s="92" t="s">
        <v>801</v>
      </c>
      <c r="E5" s="92" t="s">
        <v>802</v>
      </c>
      <c r="F5" s="246">
        <v>1375.78</v>
      </c>
    </row>
    <row r="6" spans="1:8" x14ac:dyDescent="0.35">
      <c r="A6" s="92" t="s">
        <v>803</v>
      </c>
      <c r="B6" s="92" t="s">
        <v>791</v>
      </c>
      <c r="C6" s="92" t="s">
        <v>792</v>
      </c>
      <c r="D6" s="92" t="s">
        <v>801</v>
      </c>
      <c r="E6" s="92" t="s">
        <v>804</v>
      </c>
      <c r="F6" s="246">
        <v>1375.78</v>
      </c>
    </row>
    <row r="7" spans="1:8" x14ac:dyDescent="0.35">
      <c r="A7" s="92" t="s">
        <v>805</v>
      </c>
      <c r="B7" s="92" t="s">
        <v>806</v>
      </c>
      <c r="C7" s="92" t="s">
        <v>792</v>
      </c>
      <c r="D7" s="92" t="s">
        <v>801</v>
      </c>
      <c r="E7" s="92" t="s">
        <v>807</v>
      </c>
      <c r="F7" s="246">
        <v>1375.78</v>
      </c>
    </row>
    <row r="8" spans="1:8" x14ac:dyDescent="0.35">
      <c r="A8" s="92" t="s">
        <v>808</v>
      </c>
      <c r="B8" s="92" t="s">
        <v>809</v>
      </c>
      <c r="C8" s="92" t="s">
        <v>792</v>
      </c>
      <c r="D8" s="92" t="s">
        <v>801</v>
      </c>
      <c r="E8" s="92" t="s">
        <v>810</v>
      </c>
      <c r="F8" s="246">
        <v>1375.78</v>
      </c>
    </row>
    <row r="9" spans="1:8" x14ac:dyDescent="0.35">
      <c r="A9" s="92" t="s">
        <v>37</v>
      </c>
      <c r="B9" s="92" t="s">
        <v>811</v>
      </c>
      <c r="C9" s="92" t="s">
        <v>792</v>
      </c>
      <c r="D9" s="92" t="s">
        <v>801</v>
      </c>
      <c r="E9" s="92" t="s">
        <v>812</v>
      </c>
      <c r="F9" s="246">
        <v>1375.78</v>
      </c>
    </row>
    <row r="10" spans="1:8" x14ac:dyDescent="0.35">
      <c r="A10" s="92" t="s">
        <v>813</v>
      </c>
      <c r="B10" s="92" t="s">
        <v>800</v>
      </c>
      <c r="C10" s="92" t="s">
        <v>792</v>
      </c>
      <c r="D10" s="92" t="s">
        <v>801</v>
      </c>
      <c r="E10" s="92" t="s">
        <v>814</v>
      </c>
      <c r="F10" s="246">
        <v>1375.78</v>
      </c>
    </row>
    <row r="11" spans="1:8" x14ac:dyDescent="0.35">
      <c r="A11" s="92" t="s">
        <v>815</v>
      </c>
      <c r="B11" s="92" t="s">
        <v>145</v>
      </c>
      <c r="C11" s="92" t="s">
        <v>816</v>
      </c>
      <c r="D11" s="92" t="s">
        <v>817</v>
      </c>
      <c r="E11" s="92" t="s">
        <v>818</v>
      </c>
      <c r="F11" s="246">
        <v>699</v>
      </c>
    </row>
    <row r="12" spans="1:8" x14ac:dyDescent="0.35">
      <c r="A12" s="341" t="s">
        <v>819</v>
      </c>
      <c r="B12" s="341" t="s">
        <v>115</v>
      </c>
      <c r="C12" s="341" t="s">
        <v>816</v>
      </c>
      <c r="D12" s="341" t="s">
        <v>820</v>
      </c>
      <c r="E12" s="341" t="s">
        <v>821</v>
      </c>
      <c r="F12" s="246">
        <v>699</v>
      </c>
    </row>
    <row r="13" spans="1:8" x14ac:dyDescent="0.35">
      <c r="A13" s="92" t="s">
        <v>822</v>
      </c>
      <c r="B13" s="92" t="s">
        <v>181</v>
      </c>
      <c r="C13" s="92" t="s">
        <v>816</v>
      </c>
      <c r="D13" s="92" t="s">
        <v>823</v>
      </c>
      <c r="E13" s="92" t="s">
        <v>824</v>
      </c>
      <c r="F13" s="246">
        <v>699</v>
      </c>
    </row>
    <row r="14" spans="1:8" x14ac:dyDescent="0.35">
      <c r="A14" s="92" t="s">
        <v>825</v>
      </c>
      <c r="B14" s="92" t="s">
        <v>30</v>
      </c>
      <c r="C14" s="92" t="s">
        <v>725</v>
      </c>
      <c r="D14" s="92" t="s">
        <v>797</v>
      </c>
      <c r="E14" s="92" t="s">
        <v>826</v>
      </c>
      <c r="F14" s="246">
        <v>679</v>
      </c>
    </row>
    <row r="15" spans="1:8" x14ac:dyDescent="0.35">
      <c r="A15" s="92"/>
      <c r="B15" s="92" t="s">
        <v>806</v>
      </c>
      <c r="C15" s="92" t="s">
        <v>725</v>
      </c>
      <c r="D15" s="92" t="s">
        <v>797</v>
      </c>
      <c r="E15" s="92" t="s">
        <v>827</v>
      </c>
      <c r="F15" s="246">
        <v>679</v>
      </c>
    </row>
    <row r="16" spans="1:8" x14ac:dyDescent="0.35">
      <c r="A16" s="92" t="s">
        <v>828</v>
      </c>
      <c r="B16" s="92" t="s">
        <v>30</v>
      </c>
      <c r="C16" s="92" t="s">
        <v>725</v>
      </c>
      <c r="D16" s="92" t="s">
        <v>797</v>
      </c>
      <c r="E16" s="92" t="s">
        <v>829</v>
      </c>
      <c r="F16" s="246">
        <v>679</v>
      </c>
    </row>
    <row r="17" spans="1:6" x14ac:dyDescent="0.35">
      <c r="A17" s="92" t="s">
        <v>830</v>
      </c>
      <c r="B17" s="92" t="s">
        <v>30</v>
      </c>
      <c r="C17" s="92" t="s">
        <v>725</v>
      </c>
      <c r="D17" s="92" t="s">
        <v>797</v>
      </c>
      <c r="E17" s="92" t="s">
        <v>831</v>
      </c>
      <c r="F17" s="246">
        <v>679</v>
      </c>
    </row>
    <row r="18" spans="1:6" x14ac:dyDescent="0.35">
      <c r="A18" s="92" t="s">
        <v>832</v>
      </c>
      <c r="B18" s="92" t="s">
        <v>241</v>
      </c>
      <c r="C18" s="92" t="s">
        <v>816</v>
      </c>
      <c r="D18" s="92" t="s">
        <v>833</v>
      </c>
      <c r="E18" s="92" t="s">
        <v>834</v>
      </c>
      <c r="F18" s="246">
        <v>679</v>
      </c>
    </row>
    <row r="19" spans="1:6" x14ac:dyDescent="0.35">
      <c r="A19" s="92" t="s">
        <v>835</v>
      </c>
      <c r="B19" s="92" t="s">
        <v>30</v>
      </c>
      <c r="C19" s="92" t="s">
        <v>725</v>
      </c>
      <c r="D19" s="92" t="s">
        <v>797</v>
      </c>
      <c r="E19" s="92" t="s">
        <v>836</v>
      </c>
      <c r="F19" s="246">
        <v>679</v>
      </c>
    </row>
    <row r="20" spans="1:6" x14ac:dyDescent="0.35">
      <c r="A20" s="92" t="s">
        <v>837</v>
      </c>
      <c r="B20" s="92" t="s">
        <v>838</v>
      </c>
      <c r="C20" s="92" t="s">
        <v>725</v>
      </c>
      <c r="D20" s="92" t="s">
        <v>797</v>
      </c>
      <c r="E20" s="92" t="s">
        <v>839</v>
      </c>
      <c r="F20" s="246">
        <v>679</v>
      </c>
    </row>
    <row r="21" spans="1:6" x14ac:dyDescent="0.35">
      <c r="A21" s="92" t="s">
        <v>840</v>
      </c>
      <c r="B21" s="92" t="s">
        <v>241</v>
      </c>
      <c r="C21" s="92" t="s">
        <v>725</v>
      </c>
      <c r="D21" s="92" t="s">
        <v>797</v>
      </c>
      <c r="E21" s="92" t="s">
        <v>841</v>
      </c>
      <c r="F21" s="246">
        <v>679</v>
      </c>
    </row>
    <row r="22" spans="1:6" x14ac:dyDescent="0.35">
      <c r="A22" s="92" t="s">
        <v>842</v>
      </c>
      <c r="B22" s="92" t="s">
        <v>30</v>
      </c>
      <c r="C22" s="92" t="s">
        <v>725</v>
      </c>
      <c r="D22" s="92" t="s">
        <v>797</v>
      </c>
      <c r="E22" s="92" t="s">
        <v>843</v>
      </c>
      <c r="F22" s="246">
        <v>679</v>
      </c>
    </row>
    <row r="23" spans="1:6" x14ac:dyDescent="0.35">
      <c r="A23" s="92" t="s">
        <v>844</v>
      </c>
      <c r="B23" s="92" t="s">
        <v>800</v>
      </c>
      <c r="C23" s="92" t="s">
        <v>725</v>
      </c>
      <c r="D23" s="92" t="s">
        <v>797</v>
      </c>
      <c r="E23" s="92" t="s">
        <v>845</v>
      </c>
      <c r="F23" s="246">
        <v>679</v>
      </c>
    </row>
    <row r="24" spans="1:6" x14ac:dyDescent="0.35">
      <c r="A24" s="92" t="s">
        <v>846</v>
      </c>
      <c r="B24" s="92" t="s">
        <v>809</v>
      </c>
      <c r="C24" s="92" t="s">
        <v>792</v>
      </c>
      <c r="D24" s="92" t="s">
        <v>801</v>
      </c>
      <c r="E24" s="92" t="s">
        <v>847</v>
      </c>
      <c r="F24" s="246">
        <v>1375.78</v>
      </c>
    </row>
    <row r="25" spans="1:6" x14ac:dyDescent="0.35">
      <c r="A25" s="2" t="s">
        <v>848</v>
      </c>
      <c r="B25" s="2" t="s">
        <v>809</v>
      </c>
      <c r="C25" s="2" t="s">
        <v>792</v>
      </c>
      <c r="D25" s="2" t="s">
        <v>849</v>
      </c>
      <c r="E25" s="2" t="s">
        <v>850</v>
      </c>
      <c r="F25" s="246">
        <v>1375.78</v>
      </c>
    </row>
    <row r="26" spans="1:6" x14ac:dyDescent="0.35">
      <c r="A26" s="2" t="s">
        <v>851</v>
      </c>
      <c r="B26" s="2" t="s">
        <v>800</v>
      </c>
      <c r="C26" s="2" t="s">
        <v>852</v>
      </c>
      <c r="D26" s="2" t="s">
        <v>853</v>
      </c>
      <c r="E26" s="2" t="s">
        <v>854</v>
      </c>
      <c r="F26" s="246">
        <v>854</v>
      </c>
    </row>
    <row r="27" spans="1:6" x14ac:dyDescent="0.35">
      <c r="A27" s="2" t="s">
        <v>855</v>
      </c>
      <c r="B27" s="2" t="s">
        <v>145</v>
      </c>
      <c r="C27" s="2" t="s">
        <v>725</v>
      </c>
      <c r="D27" s="2" t="s">
        <v>856</v>
      </c>
      <c r="E27" s="2" t="s">
        <v>857</v>
      </c>
      <c r="F27" s="246">
        <v>789</v>
      </c>
    </row>
    <row r="28" spans="1:6" x14ac:dyDescent="0.35">
      <c r="A28" s="2" t="s">
        <v>858</v>
      </c>
      <c r="B28" s="2" t="s">
        <v>800</v>
      </c>
      <c r="C28" s="2" t="s">
        <v>725</v>
      </c>
      <c r="D28" s="2" t="s">
        <v>797</v>
      </c>
      <c r="E28" s="2" t="s">
        <v>859</v>
      </c>
      <c r="F28" s="246">
        <v>679</v>
      </c>
    </row>
    <row r="29" spans="1:6" ht="18.75" customHeight="1" x14ac:dyDescent="0.35">
      <c r="A29" s="2" t="s">
        <v>860</v>
      </c>
      <c r="B29" s="2" t="s">
        <v>861</v>
      </c>
      <c r="C29" s="2" t="s">
        <v>725</v>
      </c>
      <c r="D29" s="2" t="s">
        <v>797</v>
      </c>
      <c r="E29" s="2" t="s">
        <v>862</v>
      </c>
      <c r="F29" s="246">
        <v>679</v>
      </c>
    </row>
    <row r="30" spans="1:6" x14ac:dyDescent="0.35">
      <c r="A30" s="2" t="s">
        <v>863</v>
      </c>
      <c r="B30" s="2" t="s">
        <v>662</v>
      </c>
      <c r="C30" s="2" t="s">
        <v>792</v>
      </c>
      <c r="D30" s="2" t="s">
        <v>801</v>
      </c>
      <c r="E30" s="2" t="s">
        <v>864</v>
      </c>
      <c r="F30" s="246">
        <v>1375.78</v>
      </c>
    </row>
    <row r="31" spans="1:6" x14ac:dyDescent="0.35">
      <c r="A31" s="92" t="s">
        <v>865</v>
      </c>
      <c r="B31" s="92" t="s">
        <v>241</v>
      </c>
      <c r="C31" s="92" t="s">
        <v>725</v>
      </c>
      <c r="D31" s="92" t="s">
        <v>797</v>
      </c>
      <c r="E31" s="92" t="s">
        <v>866</v>
      </c>
      <c r="F31" s="246">
        <v>679</v>
      </c>
    </row>
    <row r="32" spans="1:6" x14ac:dyDescent="0.35">
      <c r="A32" s="92" t="s">
        <v>867</v>
      </c>
      <c r="B32" s="92" t="s">
        <v>800</v>
      </c>
      <c r="C32" s="92" t="s">
        <v>852</v>
      </c>
      <c r="D32" s="92" t="s">
        <v>868</v>
      </c>
      <c r="E32" s="92" t="s">
        <v>869</v>
      </c>
      <c r="F32" s="246">
        <v>833</v>
      </c>
    </row>
    <row r="33" spans="1:7" x14ac:dyDescent="0.35">
      <c r="A33" s="92" t="s">
        <v>870</v>
      </c>
      <c r="B33" s="92" t="s">
        <v>800</v>
      </c>
      <c r="C33" s="92" t="s">
        <v>725</v>
      </c>
      <c r="D33" s="92" t="s">
        <v>797</v>
      </c>
      <c r="E33" s="92" t="s">
        <v>871</v>
      </c>
      <c r="F33" s="246">
        <v>679</v>
      </c>
    </row>
    <row r="34" spans="1:7" x14ac:dyDescent="0.35">
      <c r="A34" s="2" t="s">
        <v>644</v>
      </c>
      <c r="B34" s="2" t="s">
        <v>872</v>
      </c>
      <c r="C34" s="2" t="s">
        <v>816</v>
      </c>
      <c r="D34" s="2" t="s">
        <v>833</v>
      </c>
      <c r="E34" s="2" t="s">
        <v>873</v>
      </c>
      <c r="F34" s="246">
        <v>699</v>
      </c>
    </row>
    <row r="35" spans="1:7" x14ac:dyDescent="0.35">
      <c r="A35" s="92" t="s">
        <v>874</v>
      </c>
      <c r="B35" s="92" t="s">
        <v>46</v>
      </c>
      <c r="C35" s="92" t="s">
        <v>725</v>
      </c>
      <c r="D35" s="92" t="s">
        <v>875</v>
      </c>
      <c r="E35" s="92" t="s">
        <v>876</v>
      </c>
      <c r="F35" s="246">
        <v>599</v>
      </c>
    </row>
    <row r="36" spans="1:7" x14ac:dyDescent="0.35">
      <c r="A36" s="2" t="s">
        <v>877</v>
      </c>
      <c r="B36" s="2" t="s">
        <v>97</v>
      </c>
      <c r="C36" s="2" t="s">
        <v>725</v>
      </c>
      <c r="D36" s="2" t="s">
        <v>797</v>
      </c>
      <c r="E36" s="2" t="s">
        <v>878</v>
      </c>
      <c r="F36" s="246">
        <v>679</v>
      </c>
    </row>
    <row r="37" spans="1:7" x14ac:dyDescent="0.35">
      <c r="A37" s="2" t="s">
        <v>879</v>
      </c>
      <c r="B37" s="2" t="s">
        <v>97</v>
      </c>
      <c r="C37" s="2" t="s">
        <v>725</v>
      </c>
      <c r="D37" s="2" t="s">
        <v>797</v>
      </c>
      <c r="E37" s="2" t="s">
        <v>880</v>
      </c>
      <c r="F37" s="246">
        <v>679</v>
      </c>
    </row>
    <row r="38" spans="1:7" x14ac:dyDescent="0.35">
      <c r="A38" s="2" t="s">
        <v>881</v>
      </c>
      <c r="B38" s="2" t="s">
        <v>142</v>
      </c>
      <c r="C38" s="2" t="s">
        <v>725</v>
      </c>
      <c r="D38" s="2" t="s">
        <v>797</v>
      </c>
      <c r="E38" s="2" t="s">
        <v>882</v>
      </c>
      <c r="F38" s="246">
        <v>579</v>
      </c>
    </row>
    <row r="39" spans="1:7" x14ac:dyDescent="0.35">
      <c r="A39" s="92" t="s">
        <v>276</v>
      </c>
      <c r="B39" s="92" t="s">
        <v>115</v>
      </c>
      <c r="C39" s="92" t="s">
        <v>725</v>
      </c>
      <c r="D39" s="92" t="s">
        <v>875</v>
      </c>
      <c r="E39" s="92" t="s">
        <v>883</v>
      </c>
      <c r="F39" s="246">
        <v>579</v>
      </c>
    </row>
    <row r="40" spans="1:7" x14ac:dyDescent="0.35">
      <c r="A40" s="92" t="s">
        <v>884</v>
      </c>
      <c r="B40" s="92" t="s">
        <v>800</v>
      </c>
      <c r="C40" s="92" t="s">
        <v>725</v>
      </c>
      <c r="D40" s="92" t="s">
        <v>875</v>
      </c>
      <c r="E40" s="92" t="s">
        <v>885</v>
      </c>
      <c r="F40" s="246">
        <v>579</v>
      </c>
      <c r="G40" s="92" t="s">
        <v>886</v>
      </c>
    </row>
    <row r="41" spans="1:7" x14ac:dyDescent="0.35">
      <c r="A41" s="92" t="s">
        <v>887</v>
      </c>
      <c r="B41" s="92" t="s">
        <v>97</v>
      </c>
      <c r="C41" s="92" t="s">
        <v>725</v>
      </c>
      <c r="D41" s="92" t="s">
        <v>875</v>
      </c>
      <c r="E41" s="92" t="s">
        <v>888</v>
      </c>
      <c r="F41" s="246">
        <v>579</v>
      </c>
    </row>
    <row r="42" spans="1:7" x14ac:dyDescent="0.35">
      <c r="A42" s="92" t="s">
        <v>13</v>
      </c>
      <c r="B42" s="92" t="s">
        <v>14</v>
      </c>
      <c r="C42" s="92" t="s">
        <v>725</v>
      </c>
      <c r="D42" s="92" t="s">
        <v>875</v>
      </c>
      <c r="E42" s="92" t="s">
        <v>889</v>
      </c>
      <c r="F42" s="246">
        <v>579</v>
      </c>
    </row>
    <row r="43" spans="1:7" x14ac:dyDescent="0.35">
      <c r="A43" s="92" t="s">
        <v>298</v>
      </c>
      <c r="B43" s="92" t="s">
        <v>241</v>
      </c>
      <c r="C43" s="92" t="s">
        <v>725</v>
      </c>
      <c r="D43" s="92" t="s">
        <v>875</v>
      </c>
      <c r="E43" s="92" t="s">
        <v>890</v>
      </c>
      <c r="F43" s="246">
        <v>579</v>
      </c>
    </row>
    <row r="44" spans="1:7" x14ac:dyDescent="0.35">
      <c r="A44" s="92" t="s">
        <v>891</v>
      </c>
      <c r="B44" s="92" t="s">
        <v>97</v>
      </c>
      <c r="C44" s="92" t="s">
        <v>725</v>
      </c>
      <c r="D44" s="92" t="s">
        <v>875</v>
      </c>
      <c r="E44" s="92" t="s">
        <v>892</v>
      </c>
      <c r="F44" s="246">
        <v>579</v>
      </c>
    </row>
    <row r="45" spans="1:7" x14ac:dyDescent="0.35">
      <c r="A45" s="92" t="s">
        <v>893</v>
      </c>
      <c r="B45" s="92" t="s">
        <v>46</v>
      </c>
      <c r="C45" s="92" t="s">
        <v>725</v>
      </c>
      <c r="D45" s="92" t="s">
        <v>875</v>
      </c>
      <c r="E45" s="92" t="s">
        <v>894</v>
      </c>
      <c r="F45" s="246">
        <v>579</v>
      </c>
    </row>
    <row r="46" spans="1:7" x14ac:dyDescent="0.35">
      <c r="A46" s="92" t="s">
        <v>499</v>
      </c>
      <c r="B46" s="92" t="s">
        <v>46</v>
      </c>
      <c r="C46" s="92" t="s">
        <v>725</v>
      </c>
      <c r="D46" s="92" t="s">
        <v>875</v>
      </c>
      <c r="E46" s="92" t="s">
        <v>895</v>
      </c>
      <c r="F46" s="246">
        <v>579</v>
      </c>
    </row>
    <row r="47" spans="1:7" x14ac:dyDescent="0.35">
      <c r="A47" s="92" t="s">
        <v>896</v>
      </c>
      <c r="B47" s="92" t="s">
        <v>897</v>
      </c>
      <c r="C47" s="92" t="s">
        <v>725</v>
      </c>
      <c r="D47" s="92" t="s">
        <v>875</v>
      </c>
      <c r="E47" s="92" t="s">
        <v>898</v>
      </c>
      <c r="F47" s="246">
        <v>579</v>
      </c>
    </row>
  </sheetData>
  <phoneticPr fontId="25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94FD-0357-43F9-A7AD-28608C01EB2F}">
  <sheetPr>
    <tabColor rgb="FF00B050"/>
  </sheetPr>
  <dimension ref="A1:A99"/>
  <sheetViews>
    <sheetView topLeftCell="A73" workbookViewId="0">
      <selection activeCell="F68" sqref="F68"/>
    </sheetView>
  </sheetViews>
  <sheetFormatPr defaultRowHeight="15" x14ac:dyDescent="0.35"/>
  <cols>
    <col min="1" max="1" width="37.54296875" style="12" customWidth="1"/>
    <col min="2" max="2" width="16.1796875" customWidth="1"/>
  </cols>
  <sheetData>
    <row r="1" spans="1:1" x14ac:dyDescent="0.35">
      <c r="A1" s="12" t="s">
        <v>1286</v>
      </c>
    </row>
    <row r="2" spans="1:1" x14ac:dyDescent="0.35">
      <c r="A2" s="232" t="s">
        <v>1287</v>
      </c>
    </row>
    <row r="3" spans="1:1" x14ac:dyDescent="0.35">
      <c r="A3" s="12" t="s">
        <v>1262</v>
      </c>
    </row>
    <row r="5" spans="1:1" x14ac:dyDescent="0.35">
      <c r="A5" s="12" t="s">
        <v>1288</v>
      </c>
    </row>
    <row r="6" spans="1:1" x14ac:dyDescent="0.35">
      <c r="A6" s="12" t="s">
        <v>1289</v>
      </c>
    </row>
    <row r="8" spans="1:1" x14ac:dyDescent="0.35">
      <c r="A8" s="63"/>
    </row>
    <row r="9" spans="1:1" x14ac:dyDescent="0.35">
      <c r="A9" s="231" t="s">
        <v>1290</v>
      </c>
    </row>
    <row r="10" spans="1:1" x14ac:dyDescent="0.35">
      <c r="A10" s="12" t="s">
        <v>1291</v>
      </c>
    </row>
    <row r="12" spans="1:1" x14ac:dyDescent="0.35">
      <c r="A12" s="327" t="s">
        <v>1292</v>
      </c>
    </row>
    <row r="13" spans="1:1" x14ac:dyDescent="0.35">
      <c r="A13" t="s">
        <v>1277</v>
      </c>
    </row>
    <row r="15" spans="1:1" x14ac:dyDescent="0.35">
      <c r="A15" s="231" t="s">
        <v>1293</v>
      </c>
    </row>
    <row r="16" spans="1:1" x14ac:dyDescent="0.35">
      <c r="A16" s="12" t="s">
        <v>1294</v>
      </c>
    </row>
    <row r="18" spans="1:1" x14ac:dyDescent="0.35">
      <c r="A18" s="231" t="s">
        <v>1295</v>
      </c>
    </row>
    <row r="19" spans="1:1" x14ac:dyDescent="0.35">
      <c r="A19" s="12" t="s">
        <v>1296</v>
      </c>
    </row>
    <row r="21" spans="1:1" x14ac:dyDescent="0.35">
      <c r="A21" s="231" t="s">
        <v>1297</v>
      </c>
    </row>
    <row r="22" spans="1:1" x14ac:dyDescent="0.35">
      <c r="A22" s="233" t="s">
        <v>1298</v>
      </c>
    </row>
    <row r="24" spans="1:1" x14ac:dyDescent="0.35">
      <c r="A24" s="232" t="s">
        <v>1299</v>
      </c>
    </row>
    <row r="25" spans="1:1" x14ac:dyDescent="0.35">
      <c r="A25" s="12" t="s">
        <v>1300</v>
      </c>
    </row>
    <row r="27" spans="1:1" s="12" customFormat="1" x14ac:dyDescent="0.35">
      <c r="A27" s="231" t="s">
        <v>1301</v>
      </c>
    </row>
    <row r="28" spans="1:1" x14ac:dyDescent="0.35">
      <c r="A28" s="12" t="s">
        <v>1302</v>
      </c>
    </row>
    <row r="30" spans="1:1" x14ac:dyDescent="0.35">
      <c r="A30" s="12" t="s">
        <v>1303</v>
      </c>
    </row>
    <row r="31" spans="1:1" x14ac:dyDescent="0.35">
      <c r="A31" s="12" t="s">
        <v>1304</v>
      </c>
    </row>
    <row r="33" spans="1:1" x14ac:dyDescent="0.35">
      <c r="A33" t="s">
        <v>1305</v>
      </c>
    </row>
    <row r="34" spans="1:1" x14ac:dyDescent="0.35">
      <c r="A34" s="12" t="s">
        <v>1277</v>
      </c>
    </row>
    <row r="36" spans="1:1" x14ac:dyDescent="0.35">
      <c r="A36" s="326" t="s">
        <v>1306</v>
      </c>
    </row>
    <row r="37" spans="1:1" x14ac:dyDescent="0.35">
      <c r="A37" s="12" t="s">
        <v>1307</v>
      </c>
    </row>
    <row r="40" spans="1:1" x14ac:dyDescent="0.35">
      <c r="A40" s="267"/>
    </row>
    <row r="41" spans="1:1" x14ac:dyDescent="0.35">
      <c r="A41" s="268" t="s">
        <v>1308</v>
      </c>
    </row>
    <row r="42" spans="1:1" x14ac:dyDescent="0.35">
      <c r="A42" s="269" t="s">
        <v>1309</v>
      </c>
    </row>
    <row r="43" spans="1:1" x14ac:dyDescent="0.35">
      <c r="A43" s="269" t="s">
        <v>1310</v>
      </c>
    </row>
    <row r="44" spans="1:1" x14ac:dyDescent="0.35">
      <c r="A44" s="267"/>
    </row>
    <row r="45" spans="1:1" x14ac:dyDescent="0.35">
      <c r="A45" s="12" t="s">
        <v>1311</v>
      </c>
    </row>
    <row r="46" spans="1:1" x14ac:dyDescent="0.35">
      <c r="A46" s="325" t="s">
        <v>1312</v>
      </c>
    </row>
    <row r="47" spans="1:1" x14ac:dyDescent="0.35">
      <c r="A47" s="325" t="s">
        <v>1313</v>
      </c>
    </row>
    <row r="48" spans="1:1" x14ac:dyDescent="0.35">
      <c r="A48" s="12" t="s">
        <v>1314</v>
      </c>
    </row>
    <row r="49" spans="1:1" x14ac:dyDescent="0.35">
      <c r="A49" s="12" t="s">
        <v>1315</v>
      </c>
    </row>
    <row r="50" spans="1:1" x14ac:dyDescent="0.35">
      <c r="A50" s="267"/>
    </row>
    <row r="52" spans="1:1" x14ac:dyDescent="0.35">
      <c r="A52" s="341" t="s">
        <v>1316</v>
      </c>
    </row>
    <row r="53" spans="1:1" x14ac:dyDescent="0.35">
      <c r="A53" s="372" t="s">
        <v>1317</v>
      </c>
    </row>
    <row r="54" spans="1:1" x14ac:dyDescent="0.35">
      <c r="A54" s="12" t="s">
        <v>1318</v>
      </c>
    </row>
    <row r="56" spans="1:1" x14ac:dyDescent="0.35">
      <c r="A56" s="341" t="s">
        <v>1316</v>
      </c>
    </row>
    <row r="57" spans="1:1" x14ac:dyDescent="0.35">
      <c r="A57" s="12" t="s">
        <v>1319</v>
      </c>
    </row>
    <row r="58" spans="1:1" x14ac:dyDescent="0.35">
      <c r="A58" s="373"/>
    </row>
    <row r="60" spans="1:1" x14ac:dyDescent="0.35">
      <c r="A60" s="12" t="s">
        <v>1320</v>
      </c>
    </row>
    <row r="61" spans="1:1" x14ac:dyDescent="0.35">
      <c r="A61" s="12" t="s">
        <v>1321</v>
      </c>
    </row>
    <row r="62" spans="1:1" x14ac:dyDescent="0.35">
      <c r="A62" s="12" t="s">
        <v>1322</v>
      </c>
    </row>
    <row r="64" spans="1:1" x14ac:dyDescent="0.35">
      <c r="A64" s="12" t="s">
        <v>1323</v>
      </c>
    </row>
    <row r="65" spans="1:1" x14ac:dyDescent="0.35">
      <c r="A65" s="12" t="s">
        <v>1324</v>
      </c>
    </row>
    <row r="66" spans="1:1" x14ac:dyDescent="0.35">
      <c r="A66" s="12" t="s">
        <v>1241</v>
      </c>
    </row>
    <row r="67" spans="1:1" x14ac:dyDescent="0.35">
      <c r="A67" s="12" t="s">
        <v>1325</v>
      </c>
    </row>
    <row r="70" spans="1:1" x14ac:dyDescent="0.35">
      <c r="A70" s="12" t="s">
        <v>1326</v>
      </c>
    </row>
    <row r="71" spans="1:1" x14ac:dyDescent="0.35">
      <c r="A71" s="12" t="s">
        <v>1327</v>
      </c>
    </row>
    <row r="72" spans="1:1" x14ac:dyDescent="0.35">
      <c r="A72" s="12" t="s">
        <v>1328</v>
      </c>
    </row>
    <row r="74" spans="1:1" x14ac:dyDescent="0.35">
      <c r="A74" s="12" t="s">
        <v>1329</v>
      </c>
    </row>
    <row r="75" spans="1:1" x14ac:dyDescent="0.35">
      <c r="A75" s="12" t="s">
        <v>1330</v>
      </c>
    </row>
    <row r="76" spans="1:1" x14ac:dyDescent="0.35">
      <c r="A76" s="12" t="s">
        <v>1331</v>
      </c>
    </row>
    <row r="78" spans="1:1" x14ac:dyDescent="0.35">
      <c r="A78" s="12" t="s">
        <v>1278</v>
      </c>
    </row>
    <row r="79" spans="1:1" ht="30" x14ac:dyDescent="0.35">
      <c r="A79" s="417" t="s">
        <v>1332</v>
      </c>
    </row>
    <row r="80" spans="1:1" x14ac:dyDescent="0.35">
      <c r="A80" s="373"/>
    </row>
    <row r="81" spans="1:1" x14ac:dyDescent="0.35">
      <c r="A81" s="12" t="s">
        <v>1333</v>
      </c>
    </row>
    <row r="82" spans="1:1" x14ac:dyDescent="0.35">
      <c r="A82" s="12" t="s">
        <v>459</v>
      </c>
    </row>
    <row r="83" spans="1:1" x14ac:dyDescent="0.35">
      <c r="A83" s="12" t="s">
        <v>1262</v>
      </c>
    </row>
    <row r="85" spans="1:1" x14ac:dyDescent="0.35">
      <c r="A85" s="12" t="s">
        <v>1334</v>
      </c>
    </row>
    <row r="86" spans="1:1" x14ac:dyDescent="0.35">
      <c r="A86" s="12" t="s">
        <v>1335</v>
      </c>
    </row>
    <row r="87" spans="1:1" x14ac:dyDescent="0.35">
      <c r="A87" s="12" t="s">
        <v>1336</v>
      </c>
    </row>
    <row r="88" spans="1:1" x14ac:dyDescent="0.35">
      <c r="A88" s="12" t="s">
        <v>1337</v>
      </c>
    </row>
    <row r="90" spans="1:1" x14ac:dyDescent="0.35">
      <c r="A90" s="12" t="s">
        <v>1282</v>
      </c>
    </row>
    <row r="91" spans="1:1" x14ac:dyDescent="0.35">
      <c r="A91" s="12" t="s">
        <v>1283</v>
      </c>
    </row>
    <row r="92" spans="1:1" x14ac:dyDescent="0.35">
      <c r="A92" s="12" t="s">
        <v>1284</v>
      </c>
    </row>
    <row r="93" spans="1:1" x14ac:dyDescent="0.35">
      <c r="A93" s="12" t="s">
        <v>1285</v>
      </c>
    </row>
    <row r="95" spans="1:1" x14ac:dyDescent="0.35">
      <c r="A95" s="373"/>
    </row>
    <row r="97" spans="1:1" x14ac:dyDescent="0.35">
      <c r="A97" s="12" t="s">
        <v>540</v>
      </c>
    </row>
    <row r="98" spans="1:1" x14ac:dyDescent="0.35">
      <c r="A98" s="12" t="s">
        <v>1338</v>
      </c>
    </row>
    <row r="99" spans="1:1" x14ac:dyDescent="0.35">
      <c r="A99" s="12" t="s">
        <v>1270</v>
      </c>
    </row>
  </sheetData>
  <hyperlinks>
    <hyperlink ref="A2" r:id="rId1" xr:uid="{3991134C-E63B-4DDE-B506-205CEF459D61}"/>
    <hyperlink ref="A9" r:id="rId2" xr:uid="{C747D2AB-F920-45B3-8736-642C3906C78C}"/>
    <hyperlink ref="A18" r:id="rId3" xr:uid="{14E0F78E-B893-4B0A-9590-674098A7C0A0}"/>
    <hyperlink ref="A21" r:id="rId4" xr:uid="{4396A1E7-83EA-49CD-A243-F18572148249}"/>
    <hyperlink ref="A24" r:id="rId5" xr:uid="{A666CCED-5095-4849-829F-9014C15E9268}"/>
    <hyperlink ref="A27" r:id="rId6" xr:uid="{C1DE28C9-C0BA-4BB7-948F-E25FF097C107}"/>
    <hyperlink ref="A46" r:id="rId7" xr:uid="{D57AC0EF-0A93-4C09-8D02-AA509FFCE48B}"/>
    <hyperlink ref="A47" r:id="rId8" xr:uid="{05A7EDB1-D9E1-40F6-9682-B14F7CF88555}"/>
    <hyperlink ref="A36" r:id="rId9" xr:uid="{4B2873D6-4680-40F7-A66B-22FA3F795034}"/>
    <hyperlink ref="A15" r:id="rId10" xr:uid="{2892778B-D53D-41A9-B726-96901C533A18}"/>
    <hyperlink ref="A12" r:id="rId11" tooltip="mailto:auraambiental.sa@gmail.com" xr:uid="{0045328E-45A9-4A36-9565-C2C203A6128E}"/>
    <hyperlink ref="A53" r:id="rId12" xr:uid="{D4434AB2-1DC0-4BA1-BEB6-26FCC504895D}"/>
  </hyperlinks>
  <pageMargins left="0.511811024" right="0.511811024" top="0.78740157499999996" bottom="0.78740157499999996" header="0.31496062000000002" footer="0.31496062000000002"/>
  <pageSetup paperSize="9" orientation="portrait" r:id="rId1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64F5-A3B7-4D8E-8591-274DF44D2025}">
  <sheetPr filterMode="1">
    <tabColor theme="4" tint="-0.499984740745262"/>
  </sheetPr>
  <dimension ref="A1:O47"/>
  <sheetViews>
    <sheetView zoomScale="85" zoomScaleNormal="85" workbookViewId="0">
      <selection activeCell="B10" sqref="B10"/>
    </sheetView>
  </sheetViews>
  <sheetFormatPr defaultRowHeight="15" x14ac:dyDescent="0.35"/>
  <cols>
    <col min="1" max="1" width="26.1796875" style="389" customWidth="1"/>
    <col min="2" max="2" width="38.1796875" customWidth="1"/>
    <col min="3" max="3" width="21.6328125" style="2" customWidth="1"/>
    <col min="4" max="4" width="29.81640625" style="2" customWidth="1"/>
    <col min="5" max="5" width="19.08984375" customWidth="1"/>
    <col min="6" max="6" width="21" style="2" customWidth="1"/>
    <col min="7" max="7" width="21.90625" style="2" customWidth="1"/>
    <col min="8" max="8" width="13.1796875" customWidth="1"/>
    <col min="9" max="9" width="12.54296875" customWidth="1"/>
    <col min="10" max="10" width="15.08984375" customWidth="1"/>
    <col min="15" max="15" width="10" customWidth="1"/>
  </cols>
  <sheetData>
    <row r="1" spans="1:15" ht="52.5" customHeight="1" x14ac:dyDescent="0.35">
      <c r="A1" s="388" t="s">
        <v>899</v>
      </c>
      <c r="C1" s="49"/>
      <c r="D1" s="381"/>
      <c r="E1" s="8"/>
      <c r="F1" s="381"/>
      <c r="G1" s="256"/>
      <c r="H1" s="4"/>
      <c r="I1" s="4"/>
    </row>
    <row r="2" spans="1:15" s="10" customFormat="1" x14ac:dyDescent="0.35">
      <c r="A2" s="434" t="s">
        <v>2</v>
      </c>
      <c r="B2" s="432" t="s">
        <v>3</v>
      </c>
      <c r="C2" s="431" t="s">
        <v>502</v>
      </c>
      <c r="D2" s="431" t="s">
        <v>6</v>
      </c>
      <c r="E2" s="432" t="s">
        <v>900</v>
      </c>
      <c r="F2" s="431" t="s">
        <v>901</v>
      </c>
      <c r="G2" s="431" t="s">
        <v>902</v>
      </c>
      <c r="H2" s="432"/>
      <c r="I2" s="432"/>
      <c r="J2" s="432"/>
      <c r="K2" s="432"/>
      <c r="L2" s="432"/>
      <c r="M2" s="432"/>
      <c r="N2" s="432"/>
      <c r="O2" s="432"/>
    </row>
    <row r="3" spans="1:15" s="10" customFormat="1" x14ac:dyDescent="0.35">
      <c r="A3" s="435" t="s">
        <v>903</v>
      </c>
      <c r="B3" s="432"/>
      <c r="C3" s="431"/>
      <c r="D3" s="431"/>
      <c r="E3" s="432"/>
      <c r="F3" s="431"/>
      <c r="G3" s="431"/>
      <c r="H3" s="432"/>
      <c r="I3" s="432"/>
      <c r="J3" s="432"/>
      <c r="K3" s="432"/>
      <c r="L3" s="432"/>
      <c r="M3" s="432"/>
      <c r="N3" s="432"/>
      <c r="O3" s="432"/>
    </row>
    <row r="4" spans="1:15" x14ac:dyDescent="0.35">
      <c r="A4" s="389" t="s">
        <v>904</v>
      </c>
      <c r="B4" t="s">
        <v>905</v>
      </c>
      <c r="C4" s="2" t="s">
        <v>906</v>
      </c>
      <c r="D4" s="2" t="s">
        <v>906</v>
      </c>
      <c r="F4" s="382" t="s">
        <v>907</v>
      </c>
      <c r="G4" s="64" t="s">
        <v>908</v>
      </c>
    </row>
    <row r="5" spans="1:15" x14ac:dyDescent="0.35">
      <c r="A5" s="389" t="s">
        <v>909</v>
      </c>
      <c r="B5" t="s">
        <v>910</v>
      </c>
      <c r="C5" s="2" t="s">
        <v>725</v>
      </c>
      <c r="D5" s="2" t="s">
        <v>911</v>
      </c>
      <c r="F5" s="383" t="s">
        <v>912</v>
      </c>
      <c r="G5" s="64" t="s">
        <v>908</v>
      </c>
      <c r="H5" s="2"/>
      <c r="I5" s="2"/>
      <c r="J5" s="2"/>
      <c r="K5" s="2"/>
      <c r="L5" s="2"/>
    </row>
    <row r="6" spans="1:15" s="66" customFormat="1" x14ac:dyDescent="0.35">
      <c r="A6" s="386" t="s">
        <v>913</v>
      </c>
      <c r="B6" s="65" t="s">
        <v>97</v>
      </c>
      <c r="C6" s="385" t="s">
        <v>906</v>
      </c>
      <c r="D6" s="436" t="s">
        <v>906</v>
      </c>
      <c r="F6" s="64" t="s">
        <v>914</v>
      </c>
      <c r="G6" s="64" t="s">
        <v>908</v>
      </c>
    </row>
    <row r="7" spans="1:15" x14ac:dyDescent="0.35">
      <c r="A7" s="389" t="s">
        <v>915</v>
      </c>
      <c r="B7" t="s">
        <v>916</v>
      </c>
      <c r="C7" s="2" t="s">
        <v>917</v>
      </c>
      <c r="D7" s="2" t="s">
        <v>918</v>
      </c>
      <c r="F7" s="324" t="s">
        <v>919</v>
      </c>
      <c r="G7" s="64" t="s">
        <v>908</v>
      </c>
    </row>
    <row r="8" spans="1:15" x14ac:dyDescent="0.35">
      <c r="A8" s="389" t="s">
        <v>920</v>
      </c>
      <c r="B8" t="s">
        <v>67</v>
      </c>
      <c r="C8" s="2" t="s">
        <v>917</v>
      </c>
      <c r="D8" s="437" t="s">
        <v>921</v>
      </c>
      <c r="F8" s="2" t="s">
        <v>922</v>
      </c>
      <c r="G8" s="64" t="s">
        <v>908</v>
      </c>
      <c r="J8" s="453" t="s">
        <v>923</v>
      </c>
      <c r="K8" s="453"/>
      <c r="L8" s="453"/>
      <c r="M8" s="453"/>
      <c r="N8" s="453"/>
      <c r="O8" s="323"/>
    </row>
    <row r="9" spans="1:15" x14ac:dyDescent="0.35">
      <c r="A9" s="389" t="s">
        <v>924</v>
      </c>
      <c r="B9" t="s">
        <v>35</v>
      </c>
      <c r="C9" s="2" t="s">
        <v>725</v>
      </c>
      <c r="D9" s="2" t="s">
        <v>925</v>
      </c>
      <c r="F9" s="2" t="s">
        <v>926</v>
      </c>
      <c r="G9" s="64" t="s">
        <v>908</v>
      </c>
      <c r="J9" s="453"/>
      <c r="K9" s="453"/>
      <c r="L9" s="453"/>
      <c r="M9" s="453"/>
      <c r="N9" s="453"/>
      <c r="O9" s="323"/>
    </row>
    <row r="10" spans="1:15" s="60" customFormat="1" x14ac:dyDescent="0.35">
      <c r="A10" s="234" t="s">
        <v>927</v>
      </c>
      <c r="B10" s="60" t="s">
        <v>145</v>
      </c>
      <c r="C10" s="306" t="s">
        <v>917</v>
      </c>
      <c r="D10" s="426" t="s">
        <v>921</v>
      </c>
      <c r="E10" s="60" t="s">
        <v>596</v>
      </c>
      <c r="F10" s="306" t="s">
        <v>928</v>
      </c>
      <c r="G10" s="87" t="s">
        <v>908</v>
      </c>
      <c r="J10" s="309" t="s">
        <v>911</v>
      </c>
      <c r="K10" s="309" t="s">
        <v>929</v>
      </c>
      <c r="L10" s="310" t="s">
        <v>930</v>
      </c>
      <c r="M10" s="34" t="s">
        <v>538</v>
      </c>
      <c r="N10" s="34" t="s">
        <v>931</v>
      </c>
      <c r="O10" s="310" t="s">
        <v>925</v>
      </c>
    </row>
    <row r="11" spans="1:15" x14ac:dyDescent="0.35">
      <c r="B11" t="s">
        <v>35</v>
      </c>
      <c r="C11" s="2" t="s">
        <v>906</v>
      </c>
      <c r="D11" s="2" t="s">
        <v>906</v>
      </c>
      <c r="F11" s="2" t="s">
        <v>932</v>
      </c>
      <c r="G11" s="64" t="s">
        <v>908</v>
      </c>
      <c r="J11" s="2">
        <v>3</v>
      </c>
      <c r="K11" s="2">
        <v>6</v>
      </c>
      <c r="L11" s="2">
        <v>1</v>
      </c>
      <c r="M11" s="2">
        <v>7</v>
      </c>
      <c r="N11" s="2">
        <v>1</v>
      </c>
      <c r="O11" s="2">
        <v>1</v>
      </c>
    </row>
    <row r="12" spans="1:15" x14ac:dyDescent="0.35">
      <c r="A12" s="389" t="s">
        <v>933</v>
      </c>
      <c r="B12" s="12" t="s">
        <v>35</v>
      </c>
      <c r="C12" s="2" t="s">
        <v>725</v>
      </c>
      <c r="D12" s="2" t="s">
        <v>911</v>
      </c>
      <c r="F12" s="2" t="s">
        <v>934</v>
      </c>
      <c r="G12" s="64" t="s">
        <v>908</v>
      </c>
    </row>
    <row r="13" spans="1:15" x14ac:dyDescent="0.35">
      <c r="A13" s="387" t="s">
        <v>935</v>
      </c>
      <c r="B13" t="s">
        <v>35</v>
      </c>
      <c r="C13" s="2" t="s">
        <v>725</v>
      </c>
      <c r="D13" s="2" t="s">
        <v>911</v>
      </c>
      <c r="F13" s="324" t="s">
        <v>936</v>
      </c>
      <c r="G13" s="64" t="s">
        <v>908</v>
      </c>
    </row>
    <row r="14" spans="1:15" x14ac:dyDescent="0.35">
      <c r="A14" s="389" t="s">
        <v>937</v>
      </c>
      <c r="B14" t="s">
        <v>938</v>
      </c>
      <c r="C14" s="2" t="s">
        <v>906</v>
      </c>
      <c r="D14" s="2" t="s">
        <v>906</v>
      </c>
      <c r="F14" s="2" t="s">
        <v>939</v>
      </c>
      <c r="G14" s="64" t="s">
        <v>908</v>
      </c>
    </row>
    <row r="15" spans="1:15" ht="15.6" customHeight="1" x14ac:dyDescent="0.35">
      <c r="A15" s="389" t="s">
        <v>180</v>
      </c>
      <c r="B15" t="s">
        <v>181</v>
      </c>
      <c r="C15" s="306" t="s">
        <v>940</v>
      </c>
      <c r="D15" s="306" t="s">
        <v>941</v>
      </c>
      <c r="F15" s="2" t="s">
        <v>942</v>
      </c>
      <c r="G15" s="64" t="s">
        <v>908</v>
      </c>
    </row>
    <row r="16" spans="1:15" s="59" customFormat="1" x14ac:dyDescent="0.35">
      <c r="A16" s="390" t="s">
        <v>943</v>
      </c>
      <c r="B16" s="59" t="s">
        <v>944</v>
      </c>
      <c r="C16" s="2" t="s">
        <v>917</v>
      </c>
      <c r="D16" s="2" t="s">
        <v>918</v>
      </c>
      <c r="F16" s="384" t="s">
        <v>945</v>
      </c>
      <c r="G16" s="64" t="s">
        <v>908</v>
      </c>
    </row>
    <row r="17" spans="1:7" x14ac:dyDescent="0.35">
      <c r="A17" s="389" t="s">
        <v>946</v>
      </c>
      <c r="B17" t="s">
        <v>115</v>
      </c>
      <c r="C17" s="2" t="s">
        <v>917</v>
      </c>
      <c r="D17" s="2" t="s">
        <v>538</v>
      </c>
      <c r="G17" s="64" t="s">
        <v>908</v>
      </c>
    </row>
    <row r="18" spans="1:7" x14ac:dyDescent="0.35">
      <c r="A18" s="415" t="s">
        <v>790</v>
      </c>
      <c r="B18" s="412" t="s">
        <v>35</v>
      </c>
      <c r="C18" s="411" t="s">
        <v>917</v>
      </c>
      <c r="D18" s="411" t="s">
        <v>931</v>
      </c>
      <c r="F18" s="2" t="s">
        <v>947</v>
      </c>
      <c r="G18" s="64" t="s">
        <v>908</v>
      </c>
    </row>
    <row r="19" spans="1:7" x14ac:dyDescent="0.35">
      <c r="A19" s="415" t="s">
        <v>145</v>
      </c>
      <c r="B19" s="412" t="s">
        <v>948</v>
      </c>
      <c r="C19" s="411" t="s">
        <v>917</v>
      </c>
      <c r="D19" s="411" t="s">
        <v>918</v>
      </c>
      <c r="F19" s="2" t="s">
        <v>949</v>
      </c>
      <c r="G19" s="64" t="s">
        <v>908</v>
      </c>
    </row>
    <row r="20" spans="1:7" x14ac:dyDescent="0.35">
      <c r="A20" s="391" t="s">
        <v>950</v>
      </c>
      <c r="B20" t="s">
        <v>26</v>
      </c>
      <c r="C20" s="2" t="s">
        <v>917</v>
      </c>
      <c r="D20" s="2" t="s">
        <v>918</v>
      </c>
      <c r="F20" s="2" t="s">
        <v>951</v>
      </c>
      <c r="G20" s="64" t="s">
        <v>908</v>
      </c>
    </row>
    <row r="21" spans="1:7" x14ac:dyDescent="0.35">
      <c r="A21" s="391" t="s">
        <v>952</v>
      </c>
      <c r="B21" t="s">
        <v>953</v>
      </c>
      <c r="C21" s="2" t="s">
        <v>917</v>
      </c>
      <c r="D21" s="2" t="s">
        <v>918</v>
      </c>
      <c r="F21" s="2" t="s">
        <v>954</v>
      </c>
      <c r="G21" s="64" t="s">
        <v>908</v>
      </c>
    </row>
    <row r="22" spans="1:7" x14ac:dyDescent="0.35">
      <c r="A22" s="389" t="s">
        <v>955</v>
      </c>
      <c r="B22" t="s">
        <v>800</v>
      </c>
      <c r="F22" s="2" t="s">
        <v>956</v>
      </c>
      <c r="G22" s="64" t="s">
        <v>908</v>
      </c>
    </row>
    <row r="23" spans="1:7" ht="14.4" customHeight="1" x14ac:dyDescent="0.35">
      <c r="A23" s="392" t="s">
        <v>957</v>
      </c>
      <c r="B23" s="283" t="s">
        <v>958</v>
      </c>
      <c r="C23" s="378" t="s">
        <v>725</v>
      </c>
      <c r="D23" s="378" t="s">
        <v>959</v>
      </c>
      <c r="E23" s="283"/>
      <c r="F23" s="378" t="s">
        <v>960</v>
      </c>
      <c r="G23" s="64" t="s">
        <v>908</v>
      </c>
    </row>
    <row r="24" spans="1:7" ht="25.5" hidden="1" customHeight="1" x14ac:dyDescent="0.35">
      <c r="A24" t="s">
        <v>140</v>
      </c>
      <c r="B24" t="s">
        <v>184</v>
      </c>
      <c r="C24" t="s">
        <v>917</v>
      </c>
      <c r="D24" t="s">
        <v>538</v>
      </c>
      <c r="F24" s="42" t="s">
        <v>961</v>
      </c>
      <c r="G24" s="64" t="s">
        <v>908</v>
      </c>
    </row>
    <row r="25" spans="1:7" s="3" customFormat="1" ht="14.4" customHeight="1" x14ac:dyDescent="0.35">
      <c r="A25" s="391" t="s">
        <v>205</v>
      </c>
      <c r="B25" s="3" t="s">
        <v>962</v>
      </c>
      <c r="C25" s="64" t="s">
        <v>906</v>
      </c>
      <c r="D25" s="64" t="s">
        <v>137</v>
      </c>
      <c r="F25" s="379" t="s">
        <v>963</v>
      </c>
      <c r="G25" s="64" t="s">
        <v>908</v>
      </c>
    </row>
    <row r="26" spans="1:7" s="57" customFormat="1" x14ac:dyDescent="0.35">
      <c r="A26" s="393" t="s">
        <v>964</v>
      </c>
      <c r="B26" s="57" t="s">
        <v>965</v>
      </c>
      <c r="C26" s="87" t="s">
        <v>906</v>
      </c>
      <c r="D26" s="87" t="s">
        <v>906</v>
      </c>
      <c r="F26" s="87" t="s">
        <v>966</v>
      </c>
      <c r="G26" s="87" t="s">
        <v>908</v>
      </c>
    </row>
    <row r="27" spans="1:7" ht="15" customHeight="1" x14ac:dyDescent="0.35">
      <c r="A27" s="415" t="s">
        <v>195</v>
      </c>
      <c r="B27" s="412" t="s">
        <v>79</v>
      </c>
      <c r="C27" s="411" t="s">
        <v>917</v>
      </c>
      <c r="D27" s="411" t="s">
        <v>918</v>
      </c>
      <c r="F27" s="2" t="s">
        <v>967</v>
      </c>
      <c r="G27" s="2" t="s">
        <v>968</v>
      </c>
    </row>
    <row r="28" spans="1:7" x14ac:dyDescent="0.35">
      <c r="A28" s="415" t="s">
        <v>217</v>
      </c>
      <c r="B28" s="412" t="s">
        <v>137</v>
      </c>
      <c r="C28" s="411" t="s">
        <v>917</v>
      </c>
      <c r="D28" s="438" t="s">
        <v>538</v>
      </c>
      <c r="F28" s="2" t="s">
        <v>969</v>
      </c>
      <c r="G28" s="2" t="s">
        <v>970</v>
      </c>
    </row>
    <row r="29" spans="1:7" s="57" customFormat="1" x14ac:dyDescent="0.35">
      <c r="A29" s="393" t="s">
        <v>971</v>
      </c>
      <c r="B29" s="57" t="s">
        <v>905</v>
      </c>
      <c r="C29" s="87" t="s">
        <v>906</v>
      </c>
      <c r="D29" s="87" t="s">
        <v>906</v>
      </c>
      <c r="F29" s="87" t="s">
        <v>972</v>
      </c>
      <c r="G29" s="87" t="s">
        <v>908</v>
      </c>
    </row>
    <row r="30" spans="1:7" s="57" customFormat="1" x14ac:dyDescent="0.35">
      <c r="A30" s="393" t="s">
        <v>973</v>
      </c>
      <c r="B30" t="s">
        <v>115</v>
      </c>
      <c r="C30" s="87" t="s">
        <v>974</v>
      </c>
      <c r="D30" s="87" t="s">
        <v>975</v>
      </c>
      <c r="F30" s="87" t="s">
        <v>976</v>
      </c>
      <c r="G30" s="87"/>
    </row>
    <row r="31" spans="1:7" ht="5.25" customHeight="1" x14ac:dyDescent="0.35">
      <c r="A31" s="393"/>
    </row>
    <row r="32" spans="1:7" x14ac:dyDescent="0.35">
      <c r="A32" s="415" t="s">
        <v>977</v>
      </c>
      <c r="B32" s="412" t="s">
        <v>241</v>
      </c>
      <c r="C32" s="411" t="s">
        <v>959</v>
      </c>
      <c r="D32" s="411" t="s">
        <v>959</v>
      </c>
      <c r="E32" s="412"/>
      <c r="F32" s="411" t="s">
        <v>978</v>
      </c>
      <c r="G32" s="2" t="s">
        <v>908</v>
      </c>
    </row>
    <row r="33" spans="1:7" x14ac:dyDescent="0.35">
      <c r="A33" s="415" t="s">
        <v>979</v>
      </c>
      <c r="B33" s="412" t="s">
        <v>263</v>
      </c>
      <c r="C33" s="411" t="s">
        <v>917</v>
      </c>
      <c r="D33" s="438" t="s">
        <v>538</v>
      </c>
      <c r="E33" s="412"/>
      <c r="F33" s="411" t="s">
        <v>980</v>
      </c>
      <c r="G33" s="2" t="s">
        <v>908</v>
      </c>
    </row>
    <row r="34" spans="1:7" x14ac:dyDescent="0.35">
      <c r="A34" s="415" t="s">
        <v>981</v>
      </c>
      <c r="B34" s="412" t="s">
        <v>982</v>
      </c>
      <c r="C34" s="411" t="s">
        <v>917</v>
      </c>
      <c r="D34" s="438" t="s">
        <v>538</v>
      </c>
      <c r="E34" s="412"/>
      <c r="F34" s="411" t="s">
        <v>983</v>
      </c>
      <c r="G34" s="2" t="s">
        <v>908</v>
      </c>
    </row>
    <row r="35" spans="1:7" x14ac:dyDescent="0.35">
      <c r="A35" s="389" t="s">
        <v>984</v>
      </c>
      <c r="B35" t="s">
        <v>76</v>
      </c>
      <c r="C35" s="87" t="s">
        <v>906</v>
      </c>
      <c r="D35" s="87" t="s">
        <v>906</v>
      </c>
      <c r="F35" s="2" t="s">
        <v>985</v>
      </c>
    </row>
    <row r="42" spans="1:7" x14ac:dyDescent="0.35">
      <c r="A42" s="394" t="s">
        <v>986</v>
      </c>
    </row>
    <row r="43" spans="1:7" x14ac:dyDescent="0.35">
      <c r="A43" s="389" t="s">
        <v>273</v>
      </c>
      <c r="B43" t="s">
        <v>403</v>
      </c>
      <c r="C43" s="2" t="s">
        <v>484</v>
      </c>
      <c r="D43" s="2" t="s">
        <v>987</v>
      </c>
      <c r="F43" s="2" t="s">
        <v>988</v>
      </c>
    </row>
    <row r="44" spans="1:7" x14ac:dyDescent="0.35">
      <c r="A44" s="389" t="s">
        <v>989</v>
      </c>
      <c r="B44" t="s">
        <v>403</v>
      </c>
      <c r="C44" s="2" t="s">
        <v>484</v>
      </c>
      <c r="D44" s="2" t="s">
        <v>987</v>
      </c>
      <c r="F44" s="2" t="s">
        <v>990</v>
      </c>
    </row>
    <row r="45" spans="1:7" ht="15" customHeight="1" x14ac:dyDescent="0.35">
      <c r="A45" s="389" t="s">
        <v>991</v>
      </c>
      <c r="B45" t="s">
        <v>992</v>
      </c>
      <c r="C45" s="2" t="s">
        <v>484</v>
      </c>
      <c r="D45" s="2" t="s">
        <v>987</v>
      </c>
    </row>
    <row r="46" spans="1:7" x14ac:dyDescent="0.35">
      <c r="A46" s="389" t="s">
        <v>993</v>
      </c>
      <c r="B46" t="s">
        <v>403</v>
      </c>
      <c r="C46" s="2" t="s">
        <v>725</v>
      </c>
      <c r="D46" s="2" t="s">
        <v>994</v>
      </c>
      <c r="F46" s="2" t="s">
        <v>995</v>
      </c>
    </row>
    <row r="47" spans="1:7" x14ac:dyDescent="0.35">
      <c r="A47" s="395" t="s">
        <v>996</v>
      </c>
      <c r="B47" s="282" t="s">
        <v>403</v>
      </c>
      <c r="C47" s="380" t="s">
        <v>725</v>
      </c>
      <c r="D47" s="380" t="s">
        <v>994</v>
      </c>
      <c r="E47" s="282"/>
      <c r="F47" s="380" t="s">
        <v>997</v>
      </c>
    </row>
  </sheetData>
  <autoFilter ref="A2:M30" xr:uid="{112264F5-A3B7-4D8E-8591-274DF44D2025}">
    <filterColumn colId="1">
      <filters blank="1">
        <filter val="ALMOXARIFADO"/>
        <filter val="ASSISTENTE DIRETORIA"/>
        <filter val="COMPRAS"/>
        <filter val="CORPORATIVO COMPRAS"/>
        <filter val="CORPORATIVO RH"/>
        <filter val="DIRETORIA"/>
        <filter val="ENCARREGADO MANUTENÇÃO"/>
        <filter val="Engenharia"/>
        <filter val="FROTA"/>
        <filter val="IMA OBRA 86"/>
        <filter val="LINHA"/>
        <filter val="MARKETING"/>
        <filter val="PLANEJAMENTO"/>
        <filter val="PROSAI"/>
        <filter val="PROSAI ALMOX"/>
        <filter val="RH"/>
        <filter val="SAC"/>
        <filter val="SAC PROSAI"/>
        <filter val="T.I"/>
      </filters>
    </filterColumn>
  </autoFilter>
  <mergeCells count="1">
    <mergeCell ref="J8:N9"/>
  </mergeCells>
  <phoneticPr fontId="25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E8CE-B845-49FF-BD5F-811F0855EAC2}">
  <dimension ref="A1:I77"/>
  <sheetViews>
    <sheetView zoomScale="85" zoomScaleNormal="85" workbookViewId="0">
      <selection activeCell="E19" sqref="E19"/>
    </sheetView>
  </sheetViews>
  <sheetFormatPr defaultColWidth="8.90625" defaultRowHeight="13.8" x14ac:dyDescent="0.35"/>
  <cols>
    <col min="1" max="1" width="24.1796875" style="286" customWidth="1"/>
    <col min="2" max="2" width="30.54296875" style="286" customWidth="1"/>
    <col min="3" max="3" width="48.1796875" style="286" customWidth="1"/>
    <col min="4" max="4" width="23.453125" style="286" customWidth="1"/>
    <col min="5" max="5" width="20.1796875" style="286" customWidth="1"/>
    <col min="6" max="6" width="15.36328125" style="286" customWidth="1"/>
    <col min="7" max="7" width="22" style="285" customWidth="1"/>
    <col min="8" max="8" width="13.1796875" style="286" customWidth="1"/>
    <col min="9" max="9" width="14.36328125" style="286" customWidth="1"/>
    <col min="10" max="16384" width="8.90625" style="286"/>
  </cols>
  <sheetData>
    <row r="1" spans="1:9" s="308" customFormat="1" ht="15" x14ac:dyDescent="0.35">
      <c r="A1" s="284" t="s">
        <v>998</v>
      </c>
      <c r="B1" s="284" t="s">
        <v>999</v>
      </c>
      <c r="C1" s="284" t="s">
        <v>1000</v>
      </c>
      <c r="D1" s="284" t="s">
        <v>1001</v>
      </c>
      <c r="E1" s="284" t="s">
        <v>1002</v>
      </c>
      <c r="F1" s="284" t="s">
        <v>1003</v>
      </c>
      <c r="G1" s="433" t="s">
        <v>2</v>
      </c>
      <c r="H1" s="433" t="s">
        <v>502</v>
      </c>
      <c r="I1" s="433" t="s">
        <v>6</v>
      </c>
    </row>
    <row r="2" spans="1:9" ht="25.2" x14ac:dyDescent="0.35">
      <c r="A2" s="287" t="s">
        <v>1004</v>
      </c>
      <c r="B2" s="288">
        <v>4018145858</v>
      </c>
      <c r="C2" s="289" t="s">
        <v>1005</v>
      </c>
      <c r="D2" s="287" t="s">
        <v>1006</v>
      </c>
      <c r="E2" s="290">
        <v>31971313974</v>
      </c>
      <c r="F2" s="291">
        <v>30.25</v>
      </c>
      <c r="G2" s="2" t="s">
        <v>993</v>
      </c>
      <c r="H2" s="2" t="s">
        <v>725</v>
      </c>
      <c r="I2" t="s">
        <v>911</v>
      </c>
    </row>
    <row r="3" spans="1:9" ht="25.2" x14ac:dyDescent="0.35">
      <c r="A3" s="287" t="s">
        <v>1004</v>
      </c>
      <c r="B3" s="288">
        <v>4018145858</v>
      </c>
      <c r="C3" s="289" t="s">
        <v>1005</v>
      </c>
      <c r="D3" s="287" t="s">
        <v>1007</v>
      </c>
      <c r="E3" s="290">
        <v>31971351911</v>
      </c>
      <c r="F3" s="291">
        <v>30.25</v>
      </c>
      <c r="G3" s="2" t="s">
        <v>273</v>
      </c>
      <c r="H3" t="s">
        <v>484</v>
      </c>
      <c r="I3" t="s">
        <v>987</v>
      </c>
    </row>
    <row r="4" spans="1:9" ht="25.2" x14ac:dyDescent="0.35">
      <c r="A4" s="287" t="s">
        <v>1004</v>
      </c>
      <c r="B4" s="288">
        <v>4018145858</v>
      </c>
      <c r="C4" s="289" t="s">
        <v>1005</v>
      </c>
      <c r="D4" s="287" t="s">
        <v>1007</v>
      </c>
      <c r="E4" s="290">
        <v>31995220984</v>
      </c>
      <c r="F4" s="291">
        <v>31.55</v>
      </c>
      <c r="G4" s="2" t="s">
        <v>989</v>
      </c>
      <c r="H4" t="s">
        <v>484</v>
      </c>
      <c r="I4" t="s">
        <v>1008</v>
      </c>
    </row>
    <row r="5" spans="1:9" ht="25.2" x14ac:dyDescent="0.35">
      <c r="A5" s="287" t="s">
        <v>1004</v>
      </c>
      <c r="B5" s="288">
        <v>4018145858</v>
      </c>
      <c r="C5" s="289" t="s">
        <v>1005</v>
      </c>
      <c r="D5" s="287" t="s">
        <v>1007</v>
      </c>
      <c r="E5" s="290">
        <v>31995689781</v>
      </c>
      <c r="F5" s="291">
        <v>31.57</v>
      </c>
      <c r="G5" s="2" t="s">
        <v>984</v>
      </c>
      <c r="H5" s="57" t="s">
        <v>906</v>
      </c>
      <c r="I5" s="57" t="s">
        <v>906</v>
      </c>
    </row>
    <row r="6" spans="1:9" ht="25.2" x14ac:dyDescent="0.35">
      <c r="A6" s="287" t="s">
        <v>1004</v>
      </c>
      <c r="B6" s="288">
        <v>4018145858</v>
      </c>
      <c r="C6" s="289" t="s">
        <v>1005</v>
      </c>
      <c r="D6" s="287" t="s">
        <v>1007</v>
      </c>
      <c r="E6" s="290">
        <v>31995792496</v>
      </c>
      <c r="F6" s="291">
        <v>31.59</v>
      </c>
    </row>
    <row r="7" spans="1:9" ht="25.2" x14ac:dyDescent="0.35">
      <c r="A7" s="287" t="s">
        <v>1004</v>
      </c>
      <c r="B7" s="288">
        <v>4018145858</v>
      </c>
      <c r="C7" s="289" t="s">
        <v>1005</v>
      </c>
      <c r="D7" s="287" t="s">
        <v>1007</v>
      </c>
      <c r="E7" s="292">
        <v>92991062488</v>
      </c>
      <c r="F7" s="291">
        <v>33.76</v>
      </c>
      <c r="G7" s="355" t="s">
        <v>943</v>
      </c>
      <c r="H7" s="2" t="s">
        <v>917</v>
      </c>
      <c r="I7" s="2" t="s">
        <v>918</v>
      </c>
    </row>
    <row r="8" spans="1:9" ht="25.2" x14ac:dyDescent="0.35">
      <c r="A8" s="287" t="s">
        <v>1004</v>
      </c>
      <c r="B8" s="288">
        <v>4018145858</v>
      </c>
      <c r="C8" s="289" t="s">
        <v>1005</v>
      </c>
      <c r="D8" s="287" t="s">
        <v>1007</v>
      </c>
      <c r="E8" s="292">
        <v>92991099445</v>
      </c>
      <c r="F8" s="291">
        <v>33.840000000000003</v>
      </c>
      <c r="G8" s="293" t="s">
        <v>790</v>
      </c>
      <c r="H8" s="2" t="s">
        <v>917</v>
      </c>
      <c r="I8" s="2" t="s">
        <v>931</v>
      </c>
    </row>
    <row r="9" spans="1:9" ht="25.2" x14ac:dyDescent="0.35">
      <c r="A9" s="287" t="s">
        <v>1004</v>
      </c>
      <c r="B9" s="288">
        <v>4018145858</v>
      </c>
      <c r="C9" s="289" t="s">
        <v>1005</v>
      </c>
      <c r="D9" s="287" t="s">
        <v>1007</v>
      </c>
      <c r="E9" s="292">
        <v>92991870186</v>
      </c>
      <c r="F9" s="291">
        <v>33.76</v>
      </c>
      <c r="G9" s="285" t="s">
        <v>991</v>
      </c>
      <c r="H9" s="2" t="s">
        <v>725</v>
      </c>
      <c r="I9" s="2" t="s">
        <v>1009</v>
      </c>
    </row>
    <row r="10" spans="1:9" ht="15" x14ac:dyDescent="0.35">
      <c r="A10" s="287">
        <v>1814585800010</v>
      </c>
      <c r="B10" s="288">
        <v>4018145858</v>
      </c>
      <c r="C10" s="289" t="s">
        <v>1010</v>
      </c>
      <c r="D10" s="287" t="s">
        <v>1011</v>
      </c>
      <c r="E10" s="292">
        <v>92991881666</v>
      </c>
      <c r="F10" s="291">
        <v>42.29</v>
      </c>
      <c r="G10" s="285" t="s">
        <v>1012</v>
      </c>
    </row>
    <row r="11" spans="1:9" ht="23.25" customHeight="1" x14ac:dyDescent="0.35">
      <c r="A11" s="287" t="s">
        <v>1013</v>
      </c>
      <c r="B11" s="287">
        <v>4018145858</v>
      </c>
      <c r="C11" s="289" t="s">
        <v>1010</v>
      </c>
      <c r="D11" s="287">
        <v>35016301.700000003</v>
      </c>
      <c r="E11" s="294">
        <v>92992468765</v>
      </c>
      <c r="F11" s="294">
        <v>33.840000000000003</v>
      </c>
      <c r="G11" s="293" t="s">
        <v>195</v>
      </c>
      <c r="H11" s="2" t="s">
        <v>917</v>
      </c>
      <c r="I11" s="2" t="s">
        <v>918</v>
      </c>
    </row>
    <row r="12" spans="1:9" ht="25.2" x14ac:dyDescent="0.35">
      <c r="A12" s="287" t="s">
        <v>1004</v>
      </c>
      <c r="B12" s="288">
        <v>4018145858</v>
      </c>
      <c r="C12" s="287" t="s">
        <v>1014</v>
      </c>
      <c r="D12" s="287" t="s">
        <v>1006</v>
      </c>
      <c r="E12" s="292">
        <v>92992671542</v>
      </c>
      <c r="F12" s="295">
        <v>63.6</v>
      </c>
      <c r="G12" s="293" t="s">
        <v>217</v>
      </c>
      <c r="H12" s="2" t="s">
        <v>917</v>
      </c>
      <c r="I12" s="2" t="s">
        <v>538</v>
      </c>
    </row>
    <row r="13" spans="1:9" ht="25.2" x14ac:dyDescent="0.35">
      <c r="A13" s="287" t="s">
        <v>1004</v>
      </c>
      <c r="B13" s="288">
        <v>4018145858</v>
      </c>
      <c r="C13" s="289" t="s">
        <v>1015</v>
      </c>
      <c r="D13" s="287" t="s">
        <v>1006</v>
      </c>
      <c r="E13" s="292">
        <v>92992701919</v>
      </c>
      <c r="F13" s="296">
        <v>126.77</v>
      </c>
      <c r="G13" s="293" t="s">
        <v>904</v>
      </c>
      <c r="H13" s="57" t="s">
        <v>906</v>
      </c>
      <c r="I13" s="57" t="s">
        <v>906</v>
      </c>
    </row>
    <row r="14" spans="1:9" ht="25.2" x14ac:dyDescent="0.35">
      <c r="A14" s="287" t="s">
        <v>1004</v>
      </c>
      <c r="B14" s="288">
        <v>4018145858</v>
      </c>
      <c r="C14" s="289" t="s">
        <v>1005</v>
      </c>
      <c r="D14" s="287" t="s">
        <v>1007</v>
      </c>
      <c r="E14" s="292">
        <v>92992724845</v>
      </c>
      <c r="F14" s="291">
        <v>33.840000000000003</v>
      </c>
      <c r="G14" s="293" t="s">
        <v>933</v>
      </c>
      <c r="H14" s="2" t="s">
        <v>725</v>
      </c>
      <c r="I14" s="2" t="s">
        <v>911</v>
      </c>
    </row>
    <row r="15" spans="1:9" ht="25.2" x14ac:dyDescent="0.35">
      <c r="A15" s="287" t="s">
        <v>1004</v>
      </c>
      <c r="B15" s="288">
        <v>4018145858</v>
      </c>
      <c r="C15" s="289" t="s">
        <v>1005</v>
      </c>
      <c r="D15" s="287" t="s">
        <v>1007</v>
      </c>
      <c r="E15" s="292">
        <v>92993089645</v>
      </c>
      <c r="F15" s="291">
        <v>33.840000000000003</v>
      </c>
      <c r="G15" s="293" t="s">
        <v>909</v>
      </c>
      <c r="H15" s="2" t="s">
        <v>725</v>
      </c>
      <c r="I15" s="2" t="s">
        <v>911</v>
      </c>
    </row>
    <row r="16" spans="1:9" ht="25.2" x14ac:dyDescent="0.35">
      <c r="A16" s="287" t="s">
        <v>1004</v>
      </c>
      <c r="B16" s="288">
        <v>4018145858</v>
      </c>
      <c r="C16" s="289" t="s">
        <v>1005</v>
      </c>
      <c r="D16" s="287" t="s">
        <v>1007</v>
      </c>
      <c r="E16" s="292">
        <v>92993090725</v>
      </c>
      <c r="F16" s="291">
        <v>33.840000000000003</v>
      </c>
      <c r="G16" s="297" t="s">
        <v>935</v>
      </c>
      <c r="H16" s="2" t="s">
        <v>725</v>
      </c>
      <c r="I16" s="2" t="s">
        <v>911</v>
      </c>
    </row>
    <row r="17" spans="1:9" ht="28.5" customHeight="1" x14ac:dyDescent="0.35">
      <c r="A17" s="287" t="s">
        <v>1016</v>
      </c>
      <c r="B17" s="294" t="s">
        <v>1017</v>
      </c>
      <c r="C17" s="289" t="s">
        <v>1018</v>
      </c>
      <c r="D17" s="298" t="s">
        <v>1019</v>
      </c>
      <c r="E17" s="294" t="s">
        <v>1020</v>
      </c>
      <c r="F17" s="294" t="s">
        <v>1021</v>
      </c>
      <c r="G17" s="299" t="s">
        <v>205</v>
      </c>
      <c r="H17" s="57" t="s">
        <v>906</v>
      </c>
      <c r="I17" s="57" t="s">
        <v>906</v>
      </c>
    </row>
    <row r="18" spans="1:9" ht="25.2" x14ac:dyDescent="0.35">
      <c r="A18" s="287" t="s">
        <v>1004</v>
      </c>
      <c r="B18" s="288">
        <v>4018145858</v>
      </c>
      <c r="C18" s="289" t="s">
        <v>1018</v>
      </c>
      <c r="D18" s="287" t="s">
        <v>1007</v>
      </c>
      <c r="E18" s="294">
        <v>92993412925</v>
      </c>
      <c r="F18" s="287">
        <v>33.840000000000003</v>
      </c>
      <c r="G18" s="293" t="s">
        <v>948</v>
      </c>
      <c r="H18" s="2" t="s">
        <v>917</v>
      </c>
      <c r="I18" s="2" t="s">
        <v>918</v>
      </c>
    </row>
    <row r="19" spans="1:9" ht="25.2" x14ac:dyDescent="0.35">
      <c r="A19" s="287" t="s">
        <v>1004</v>
      </c>
      <c r="B19" s="288">
        <v>4018145858</v>
      </c>
      <c r="C19" s="289" t="s">
        <v>1018</v>
      </c>
      <c r="D19" s="287" t="s">
        <v>1007</v>
      </c>
      <c r="E19" s="294">
        <v>92993479038</v>
      </c>
      <c r="F19" s="287" t="s">
        <v>320</v>
      </c>
      <c r="G19" s="293" t="s">
        <v>1022</v>
      </c>
      <c r="H19" s="2" t="s">
        <v>917</v>
      </c>
      <c r="I19" s="2" t="s">
        <v>538</v>
      </c>
    </row>
    <row r="20" spans="1:9" ht="25.2" x14ac:dyDescent="0.35">
      <c r="A20" s="287" t="s">
        <v>1004</v>
      </c>
      <c r="B20" s="288">
        <v>4018145858</v>
      </c>
      <c r="C20" s="289" t="s">
        <v>1018</v>
      </c>
      <c r="D20" s="287" t="s">
        <v>1007</v>
      </c>
      <c r="E20" s="294">
        <v>92993480041</v>
      </c>
      <c r="F20" s="287">
        <v>33.840000000000003</v>
      </c>
      <c r="G20" s="293" t="s">
        <v>981</v>
      </c>
      <c r="H20" s="2" t="s">
        <v>917</v>
      </c>
      <c r="I20" s="2" t="s">
        <v>538</v>
      </c>
    </row>
    <row r="21" spans="1:9" ht="25.2" x14ac:dyDescent="0.35">
      <c r="A21" s="287" t="s">
        <v>1004</v>
      </c>
      <c r="B21" s="288">
        <v>4018145858</v>
      </c>
      <c r="C21" s="289" t="s">
        <v>1018</v>
      </c>
      <c r="D21" s="287" t="s">
        <v>1007</v>
      </c>
      <c r="E21" s="287">
        <v>92993483479</v>
      </c>
      <c r="F21" s="287">
        <v>33.840000000000003</v>
      </c>
      <c r="G21" s="293" t="s">
        <v>977</v>
      </c>
      <c r="H21" s="322" t="s">
        <v>959</v>
      </c>
      <c r="I21" s="286" t="s">
        <v>959</v>
      </c>
    </row>
    <row r="22" spans="1:9" ht="25.2" x14ac:dyDescent="0.35">
      <c r="A22" s="287" t="s">
        <v>1004</v>
      </c>
      <c r="B22" s="288">
        <v>4018145858</v>
      </c>
      <c r="C22" s="289" t="s">
        <v>1018</v>
      </c>
      <c r="D22" s="287" t="s">
        <v>1007</v>
      </c>
      <c r="E22" s="292">
        <v>92993813245</v>
      </c>
      <c r="F22" s="291">
        <v>33.840000000000003</v>
      </c>
      <c r="G22" s="293" t="s">
        <v>915</v>
      </c>
      <c r="H22" s="2" t="s">
        <v>917</v>
      </c>
      <c r="I22" s="2" t="s">
        <v>918</v>
      </c>
    </row>
    <row r="23" spans="1:9" ht="23.25" customHeight="1" x14ac:dyDescent="0.35">
      <c r="A23" s="287" t="s">
        <v>1004</v>
      </c>
      <c r="B23" s="288">
        <v>4018145858</v>
      </c>
      <c r="C23" s="289" t="s">
        <v>1018</v>
      </c>
      <c r="D23" s="287" t="s">
        <v>1007</v>
      </c>
      <c r="E23" s="292">
        <v>92994023128</v>
      </c>
      <c r="F23" s="291">
        <v>33.76</v>
      </c>
      <c r="G23" s="300" t="s">
        <v>964</v>
      </c>
      <c r="H23" s="57" t="s">
        <v>906</v>
      </c>
      <c r="I23" s="57" t="s">
        <v>906</v>
      </c>
    </row>
    <row r="24" spans="1:9" ht="25.2" x14ac:dyDescent="0.35">
      <c r="A24" s="287" t="s">
        <v>1004</v>
      </c>
      <c r="B24" s="288">
        <v>4018145858</v>
      </c>
      <c r="C24" s="289" t="s">
        <v>1018</v>
      </c>
      <c r="D24" s="287" t="s">
        <v>1007</v>
      </c>
      <c r="E24" s="292">
        <v>92994119608</v>
      </c>
      <c r="F24" s="291">
        <v>33.76</v>
      </c>
      <c r="G24" s="293" t="s">
        <v>920</v>
      </c>
      <c r="H24" s="2" t="s">
        <v>917</v>
      </c>
      <c r="I24" s="2" t="s">
        <v>921</v>
      </c>
    </row>
    <row r="25" spans="1:9" ht="25.2" x14ac:dyDescent="0.35">
      <c r="A25" s="287" t="s">
        <v>1004</v>
      </c>
      <c r="B25" s="288">
        <v>4018145858</v>
      </c>
      <c r="C25" s="289" t="s">
        <v>1018</v>
      </c>
      <c r="D25" s="287" t="s">
        <v>1007</v>
      </c>
      <c r="E25" s="292">
        <v>92994279520</v>
      </c>
      <c r="F25" s="291">
        <v>33.840000000000003</v>
      </c>
      <c r="G25" s="299" t="s">
        <v>952</v>
      </c>
      <c r="H25" s="2" t="s">
        <v>917</v>
      </c>
      <c r="I25" s="2" t="s">
        <v>918</v>
      </c>
    </row>
    <row r="26" spans="1:9" ht="25.2" x14ac:dyDescent="0.35">
      <c r="A26" s="287" t="s">
        <v>1004</v>
      </c>
      <c r="B26" s="288">
        <v>4018145858</v>
      </c>
      <c r="C26" s="287" t="s">
        <v>1023</v>
      </c>
      <c r="D26" s="287" t="s">
        <v>1007</v>
      </c>
      <c r="E26" s="292">
        <v>92994304610</v>
      </c>
      <c r="F26" s="291">
        <v>33.76</v>
      </c>
      <c r="G26" s="293" t="s">
        <v>924</v>
      </c>
      <c r="H26" s="307" t="s">
        <v>725</v>
      </c>
      <c r="I26" s="307" t="s">
        <v>925</v>
      </c>
    </row>
    <row r="27" spans="1:9" ht="25.2" x14ac:dyDescent="0.35">
      <c r="A27" s="287" t="s">
        <v>1004</v>
      </c>
      <c r="B27" s="288">
        <v>4018145858</v>
      </c>
      <c r="C27" s="287" t="s">
        <v>1023</v>
      </c>
      <c r="D27" s="287" t="s">
        <v>1006</v>
      </c>
      <c r="E27" s="292">
        <v>92994313548</v>
      </c>
      <c r="F27" s="291">
        <v>33.76</v>
      </c>
      <c r="G27" s="299" t="s">
        <v>950</v>
      </c>
      <c r="H27" s="2" t="s">
        <v>917</v>
      </c>
      <c r="I27" s="2" t="s">
        <v>918</v>
      </c>
    </row>
    <row r="28" spans="1:9" ht="24.75" customHeight="1" x14ac:dyDescent="0.35">
      <c r="A28" s="287" t="s">
        <v>1004</v>
      </c>
      <c r="B28" s="288">
        <v>4018145858</v>
      </c>
      <c r="C28" s="289" t="s">
        <v>1024</v>
      </c>
      <c r="D28" s="287" t="s">
        <v>1006</v>
      </c>
      <c r="E28" s="292">
        <v>92994380359</v>
      </c>
      <c r="F28" s="290">
        <v>74</v>
      </c>
      <c r="G28" s="301" t="s">
        <v>913</v>
      </c>
      <c r="H28" s="57" t="s">
        <v>906</v>
      </c>
      <c r="I28" s="57" t="s">
        <v>906</v>
      </c>
    </row>
    <row r="29" spans="1:9" ht="29.25" customHeight="1" x14ac:dyDescent="0.35">
      <c r="A29" s="287" t="s">
        <v>1025</v>
      </c>
      <c r="B29" s="294" t="s">
        <v>1017</v>
      </c>
      <c r="C29" s="287" t="s">
        <v>1026</v>
      </c>
      <c r="D29" s="298" t="s">
        <v>1019</v>
      </c>
      <c r="E29" s="294" t="s">
        <v>1027</v>
      </c>
      <c r="F29" s="294" t="s">
        <v>1028</v>
      </c>
      <c r="G29" s="302" t="s">
        <v>927</v>
      </c>
      <c r="H29" s="306" t="s">
        <v>917</v>
      </c>
      <c r="I29" s="306" t="s">
        <v>921</v>
      </c>
    </row>
    <row r="30" spans="1:9" ht="28.5" customHeight="1" x14ac:dyDescent="0.35">
      <c r="A30" s="287" t="s">
        <v>1025</v>
      </c>
      <c r="B30" s="287">
        <v>4018145858</v>
      </c>
      <c r="C30" s="287" t="s">
        <v>1029</v>
      </c>
      <c r="D30" s="287">
        <v>35016301.700000003</v>
      </c>
      <c r="E30" s="287">
        <v>92994584860</v>
      </c>
      <c r="F30" s="287">
        <v>33.76</v>
      </c>
      <c r="G30" s="293" t="s">
        <v>955</v>
      </c>
    </row>
    <row r="31" spans="1:9" ht="25.2" x14ac:dyDescent="0.35">
      <c r="A31" s="287" t="s">
        <v>1004</v>
      </c>
      <c r="B31" s="288">
        <v>4018145858</v>
      </c>
      <c r="C31" s="287" t="s">
        <v>1023</v>
      </c>
      <c r="D31" s="287" t="s">
        <v>1006</v>
      </c>
      <c r="E31" s="292">
        <v>92994587662</v>
      </c>
      <c r="F31" s="291">
        <v>33.76</v>
      </c>
      <c r="G31" s="293" t="s">
        <v>140</v>
      </c>
      <c r="H31" s="2" t="s">
        <v>917</v>
      </c>
      <c r="I31" s="2" t="s">
        <v>538</v>
      </c>
    </row>
    <row r="32" spans="1:9" ht="25.2" x14ac:dyDescent="0.35">
      <c r="A32" s="287" t="s">
        <v>1004</v>
      </c>
      <c r="B32" s="288">
        <v>4018145858</v>
      </c>
      <c r="C32" s="287" t="s">
        <v>1030</v>
      </c>
      <c r="D32" s="287" t="s">
        <v>1006</v>
      </c>
      <c r="E32" s="292">
        <v>92994599207</v>
      </c>
      <c r="F32" s="303">
        <v>42.29</v>
      </c>
      <c r="G32" s="293" t="s">
        <v>180</v>
      </c>
      <c r="H32" s="306" t="s">
        <v>940</v>
      </c>
      <c r="I32" s="306" t="s">
        <v>941</v>
      </c>
    </row>
    <row r="33" spans="1:9" ht="25.2" x14ac:dyDescent="0.35">
      <c r="A33" s="287" t="s">
        <v>1004</v>
      </c>
      <c r="B33" s="288">
        <v>4018145858</v>
      </c>
      <c r="C33" s="287" t="s">
        <v>1030</v>
      </c>
      <c r="D33" s="287" t="s">
        <v>1006</v>
      </c>
      <c r="E33" s="292">
        <v>92994611313</v>
      </c>
      <c r="F33" s="303">
        <v>42.29</v>
      </c>
      <c r="G33" s="293" t="s">
        <v>904</v>
      </c>
      <c r="H33" s="57" t="s">
        <v>906</v>
      </c>
      <c r="I33" s="57" t="s">
        <v>906</v>
      </c>
    </row>
    <row r="34" spans="1:9" ht="25.2" x14ac:dyDescent="0.35">
      <c r="A34" s="287" t="s">
        <v>1004</v>
      </c>
      <c r="B34" s="288">
        <v>4018145858</v>
      </c>
      <c r="C34" s="287" t="s">
        <v>1023</v>
      </c>
      <c r="D34" s="287" t="s">
        <v>1006</v>
      </c>
      <c r="E34" s="292">
        <v>92994742768</v>
      </c>
      <c r="F34" s="291" t="s">
        <v>596</v>
      </c>
      <c r="G34" s="293" t="s">
        <v>937</v>
      </c>
    </row>
    <row r="35" spans="1:9" ht="15" x14ac:dyDescent="0.35">
      <c r="A35" s="304">
        <v>18145858000100</v>
      </c>
      <c r="B35" s="288">
        <v>4018145858</v>
      </c>
      <c r="C35" s="289" t="s">
        <v>1018</v>
      </c>
      <c r="D35" s="305">
        <v>350163017</v>
      </c>
      <c r="E35" s="292">
        <v>92994778285</v>
      </c>
      <c r="F35" s="291">
        <v>33.840000000000003</v>
      </c>
      <c r="G35" s="285" t="s">
        <v>35</v>
      </c>
    </row>
    <row r="36" spans="1:9" ht="15" x14ac:dyDescent="0.35">
      <c r="A36" s="304"/>
      <c r="B36" s="288"/>
      <c r="C36" s="289"/>
      <c r="D36" s="305"/>
      <c r="E36" s="292" t="s">
        <v>1031</v>
      </c>
      <c r="F36" s="291"/>
      <c r="G36" s="285" t="s">
        <v>451</v>
      </c>
      <c r="H36" s="286" t="s">
        <v>917</v>
      </c>
      <c r="I36" s="2" t="s">
        <v>538</v>
      </c>
    </row>
    <row r="37" spans="1:9" ht="15" x14ac:dyDescent="0.35">
      <c r="A37" s="304"/>
      <c r="B37" s="288"/>
      <c r="C37" s="289"/>
      <c r="D37" s="305"/>
    </row>
    <row r="38" spans="1:9" ht="15" x14ac:dyDescent="0.35">
      <c r="A38" s="304"/>
      <c r="B38" s="288"/>
      <c r="C38" s="289"/>
      <c r="D38" s="305"/>
      <c r="E38" s="292" t="s">
        <v>1032</v>
      </c>
      <c r="F38" s="291"/>
      <c r="G38" s="285" t="s">
        <v>1033</v>
      </c>
      <c r="H38" s="286" t="s">
        <v>917</v>
      </c>
      <c r="I38" s="2" t="s">
        <v>538</v>
      </c>
    </row>
    <row r="39" spans="1:9" ht="15" x14ac:dyDescent="0.35">
      <c r="A39" s="304"/>
      <c r="B39" s="288"/>
      <c r="C39" s="289"/>
      <c r="D39" s="305"/>
      <c r="E39" s="292" t="s">
        <v>1034</v>
      </c>
      <c r="F39" s="291"/>
      <c r="G39" s="331" t="s">
        <v>1035</v>
      </c>
      <c r="H39" s="286" t="s">
        <v>917</v>
      </c>
      <c r="I39" s="2" t="s">
        <v>538</v>
      </c>
    </row>
    <row r="40" spans="1:9" ht="15" x14ac:dyDescent="0.35">
      <c r="A40" s="304"/>
      <c r="B40" s="288"/>
      <c r="C40" s="289"/>
      <c r="D40" s="305"/>
      <c r="E40" s="292" t="s">
        <v>1036</v>
      </c>
      <c r="F40" s="291"/>
      <c r="G40" s="331" t="s">
        <v>1037</v>
      </c>
      <c r="H40" s="286" t="s">
        <v>917</v>
      </c>
      <c r="I40" s="2" t="s">
        <v>538</v>
      </c>
    </row>
    <row r="41" spans="1:9" ht="15" x14ac:dyDescent="0.35">
      <c r="A41" s="304"/>
      <c r="B41" s="288"/>
      <c r="C41" s="289"/>
      <c r="D41" s="305"/>
      <c r="E41" s="292" t="s">
        <v>1038</v>
      </c>
      <c r="F41" s="291"/>
      <c r="G41" s="331" t="s">
        <v>1039</v>
      </c>
      <c r="H41" s="286" t="s">
        <v>917</v>
      </c>
      <c r="I41" s="2" t="s">
        <v>538</v>
      </c>
    </row>
    <row r="42" spans="1:9" ht="15" x14ac:dyDescent="0.35">
      <c r="A42" s="304"/>
      <c r="B42" s="288"/>
      <c r="C42" s="289"/>
      <c r="D42" s="305"/>
      <c r="E42" s="292"/>
      <c r="F42" s="291"/>
    </row>
    <row r="43" spans="1:9" ht="15" x14ac:dyDescent="0.35">
      <c r="A43" s="284" t="s">
        <v>998</v>
      </c>
      <c r="B43" s="284" t="s">
        <v>999</v>
      </c>
      <c r="C43" s="284" t="s">
        <v>1000</v>
      </c>
      <c r="D43" s="284" t="s">
        <v>1001</v>
      </c>
      <c r="E43" s="284" t="s">
        <v>1002</v>
      </c>
      <c r="F43" s="284" t="s">
        <v>1003</v>
      </c>
      <c r="G43" s="433" t="s">
        <v>2</v>
      </c>
      <c r="H43" s="433" t="s">
        <v>502</v>
      </c>
      <c r="I43" s="433" t="s">
        <v>6</v>
      </c>
    </row>
    <row r="44" spans="1:9" s="319" customFormat="1" ht="16.5" customHeight="1" x14ac:dyDescent="0.6">
      <c r="A44" s="314">
        <v>18145858000104</v>
      </c>
      <c r="B44" s="315">
        <v>4018145858</v>
      </c>
      <c r="C44" s="316" t="s">
        <v>1024</v>
      </c>
      <c r="D44" s="317" t="s">
        <v>1006</v>
      </c>
      <c r="E44" s="318" t="s">
        <v>1040</v>
      </c>
      <c r="F44" s="319">
        <v>59.9</v>
      </c>
      <c r="G44" s="320"/>
    </row>
    <row r="45" spans="1:9" ht="25.2" x14ac:dyDescent="0.6">
      <c r="A45" s="312">
        <v>18145858000104</v>
      </c>
      <c r="B45" s="288">
        <v>4018145858</v>
      </c>
      <c r="C45" s="289" t="s">
        <v>1024</v>
      </c>
      <c r="D45" s="317" t="s">
        <v>1007</v>
      </c>
      <c r="E45" s="311" t="s">
        <v>1041</v>
      </c>
      <c r="F45" s="286">
        <v>59.9</v>
      </c>
      <c r="G45" s="313" t="s">
        <v>1042</v>
      </c>
    </row>
    <row r="46" spans="1:9" ht="25.2" x14ac:dyDescent="0.6">
      <c r="A46" s="312">
        <v>18145858000104</v>
      </c>
      <c r="B46" s="288">
        <v>4018145858</v>
      </c>
      <c r="C46" s="289" t="s">
        <v>1024</v>
      </c>
      <c r="D46" s="317" t="s">
        <v>1007</v>
      </c>
      <c r="E46" s="311" t="s">
        <v>1043</v>
      </c>
      <c r="F46" s="286">
        <v>59.9</v>
      </c>
      <c r="G46" s="313" t="s">
        <v>1044</v>
      </c>
    </row>
    <row r="47" spans="1:9" ht="25.2" x14ac:dyDescent="0.6">
      <c r="A47" s="312">
        <v>18145858000104</v>
      </c>
      <c r="B47" s="288">
        <v>4018145858</v>
      </c>
      <c r="C47" s="289" t="s">
        <v>1024</v>
      </c>
      <c r="D47" s="317" t="s">
        <v>1007</v>
      </c>
      <c r="E47" s="311" t="s">
        <v>1045</v>
      </c>
      <c r="F47" s="286">
        <v>59.9</v>
      </c>
      <c r="G47" s="313" t="s">
        <v>1046</v>
      </c>
    </row>
    <row r="48" spans="1:9" ht="25.2" x14ac:dyDescent="0.6">
      <c r="A48" s="312">
        <v>18145858000104</v>
      </c>
      <c r="B48" s="288">
        <v>4018145858</v>
      </c>
      <c r="C48" s="289" t="s">
        <v>1024</v>
      </c>
      <c r="D48" s="317" t="s">
        <v>1007</v>
      </c>
      <c r="E48" s="311" t="s">
        <v>1047</v>
      </c>
      <c r="F48" s="286">
        <v>59.9</v>
      </c>
      <c r="G48" s="313" t="s">
        <v>1048</v>
      </c>
    </row>
    <row r="49" spans="1:7" ht="25.2" x14ac:dyDescent="0.6">
      <c r="A49" s="312">
        <v>18145858000104</v>
      </c>
      <c r="B49" s="288">
        <v>4018145858</v>
      </c>
      <c r="C49" s="289" t="s">
        <v>1024</v>
      </c>
      <c r="D49" s="317" t="s">
        <v>1007</v>
      </c>
      <c r="E49" s="311" t="s">
        <v>1049</v>
      </c>
      <c r="F49" s="286">
        <v>59.9</v>
      </c>
      <c r="G49" s="313" t="s">
        <v>1050</v>
      </c>
    </row>
    <row r="50" spans="1:7" ht="25.2" x14ac:dyDescent="0.6">
      <c r="A50" s="312">
        <v>18145858000104</v>
      </c>
      <c r="B50" s="288">
        <v>4018145858</v>
      </c>
      <c r="C50" s="289" t="s">
        <v>1024</v>
      </c>
      <c r="D50" s="317" t="s">
        <v>1007</v>
      </c>
      <c r="E50" s="311" t="s">
        <v>1051</v>
      </c>
      <c r="F50" s="286">
        <v>59.9</v>
      </c>
      <c r="G50" s="313" t="s">
        <v>1052</v>
      </c>
    </row>
    <row r="51" spans="1:7" ht="25.2" x14ac:dyDescent="0.6">
      <c r="A51" s="312">
        <v>18145858000104</v>
      </c>
      <c r="B51" s="288">
        <v>4018145858</v>
      </c>
      <c r="C51" s="289" t="s">
        <v>1024</v>
      </c>
      <c r="D51" s="317" t="s">
        <v>1007</v>
      </c>
      <c r="E51" s="311" t="s">
        <v>1053</v>
      </c>
      <c r="F51" s="286">
        <v>59.9</v>
      </c>
      <c r="G51" s="313" t="s">
        <v>1054</v>
      </c>
    </row>
    <row r="52" spans="1:7" ht="15" x14ac:dyDescent="0.3">
      <c r="A52" s="312">
        <v>18145858000104</v>
      </c>
      <c r="B52" s="288">
        <v>4018145858</v>
      </c>
      <c r="C52" s="289" t="s">
        <v>1024</v>
      </c>
      <c r="D52" s="317" t="s">
        <v>1011</v>
      </c>
      <c r="E52" s="311" t="s">
        <v>1055</v>
      </c>
      <c r="F52" s="286">
        <v>59.9</v>
      </c>
      <c r="G52" s="313" t="s">
        <v>443</v>
      </c>
    </row>
    <row r="53" spans="1:7" ht="15" x14ac:dyDescent="0.3">
      <c r="A53" s="312">
        <v>18145858000104</v>
      </c>
      <c r="B53" s="288">
        <v>4018145858</v>
      </c>
      <c r="C53" s="289" t="s">
        <v>1024</v>
      </c>
      <c r="D53" s="317">
        <v>35016301.700000003</v>
      </c>
      <c r="E53" s="311" t="s">
        <v>1056</v>
      </c>
      <c r="F53" s="286">
        <v>59.9</v>
      </c>
      <c r="G53" s="313" t="s">
        <v>1057</v>
      </c>
    </row>
    <row r="54" spans="1:7" ht="25.2" x14ac:dyDescent="0.6">
      <c r="A54" s="312">
        <v>18145858000104</v>
      </c>
      <c r="B54" s="288">
        <v>4018145858</v>
      </c>
      <c r="C54" s="289" t="s">
        <v>1024</v>
      </c>
      <c r="D54" s="317" t="s">
        <v>1006</v>
      </c>
      <c r="E54" s="311" t="s">
        <v>1058</v>
      </c>
      <c r="F54" s="286">
        <v>59.9</v>
      </c>
      <c r="G54" s="313" t="s">
        <v>1059</v>
      </c>
    </row>
    <row r="55" spans="1:7" ht="25.2" x14ac:dyDescent="0.6">
      <c r="A55" s="312">
        <v>18145858000104</v>
      </c>
      <c r="B55" s="288">
        <v>4018145858</v>
      </c>
      <c r="C55" s="289" t="s">
        <v>1024</v>
      </c>
      <c r="D55" s="317" t="s">
        <v>1006</v>
      </c>
      <c r="E55" s="311" t="s">
        <v>1060</v>
      </c>
      <c r="F55" s="286">
        <v>59.9</v>
      </c>
      <c r="G55" s="313" t="s">
        <v>1061</v>
      </c>
    </row>
    <row r="56" spans="1:7" ht="25.2" x14ac:dyDescent="0.6">
      <c r="A56" s="312">
        <v>18145858000104</v>
      </c>
      <c r="B56" s="288">
        <v>4018145858</v>
      </c>
      <c r="C56" s="289" t="s">
        <v>1024</v>
      </c>
      <c r="D56" s="317" t="s">
        <v>1007</v>
      </c>
      <c r="E56" s="311" t="s">
        <v>1062</v>
      </c>
      <c r="F56" s="286">
        <v>59.9</v>
      </c>
      <c r="G56" s="313" t="s">
        <v>1063</v>
      </c>
    </row>
    <row r="57" spans="1:7" ht="25.2" x14ac:dyDescent="0.6">
      <c r="A57" s="312">
        <v>18145858000104</v>
      </c>
      <c r="B57" s="288">
        <v>4018145858</v>
      </c>
      <c r="C57" s="289" t="s">
        <v>1024</v>
      </c>
      <c r="D57" s="317" t="s">
        <v>1007</v>
      </c>
      <c r="E57" s="311" t="s">
        <v>1064</v>
      </c>
      <c r="F57" s="286">
        <v>59.9</v>
      </c>
      <c r="G57" s="313" t="s">
        <v>1065</v>
      </c>
    </row>
    <row r="58" spans="1:7" ht="25.2" x14ac:dyDescent="0.6">
      <c r="A58" s="312">
        <v>18145858000104</v>
      </c>
      <c r="B58" s="288">
        <v>4018145858</v>
      </c>
      <c r="C58" s="289" t="s">
        <v>1024</v>
      </c>
      <c r="D58" s="317" t="s">
        <v>1007</v>
      </c>
      <c r="E58" s="311" t="s">
        <v>1066</v>
      </c>
      <c r="F58" s="286">
        <v>59.9</v>
      </c>
      <c r="G58" s="313" t="s">
        <v>1067</v>
      </c>
    </row>
    <row r="59" spans="1:7" ht="50.4" x14ac:dyDescent="0.6">
      <c r="A59" s="312">
        <v>18145858000104</v>
      </c>
      <c r="B59" s="288">
        <v>4018145858</v>
      </c>
      <c r="C59" s="289" t="s">
        <v>1024</v>
      </c>
      <c r="D59" s="321" t="s">
        <v>1019</v>
      </c>
      <c r="E59" s="311" t="s">
        <v>1068</v>
      </c>
      <c r="F59" s="286">
        <v>59.9</v>
      </c>
      <c r="G59" s="313" t="s">
        <v>1069</v>
      </c>
    </row>
    <row r="60" spans="1:7" ht="25.2" x14ac:dyDescent="0.6">
      <c r="A60" s="312">
        <v>18145858000104</v>
      </c>
      <c r="B60" s="288">
        <v>4018145858</v>
      </c>
      <c r="C60" s="289" t="s">
        <v>1024</v>
      </c>
      <c r="D60" s="317" t="s">
        <v>1007</v>
      </c>
      <c r="E60" s="311" t="s">
        <v>1070</v>
      </c>
      <c r="F60" s="286">
        <v>59.9</v>
      </c>
      <c r="G60" s="313" t="s">
        <v>1071</v>
      </c>
    </row>
    <row r="61" spans="1:7" ht="25.2" x14ac:dyDescent="0.6">
      <c r="A61" s="312">
        <v>18145858000104</v>
      </c>
      <c r="B61" s="288">
        <v>4018145858</v>
      </c>
      <c r="C61" s="289" t="s">
        <v>1024</v>
      </c>
      <c r="D61" s="317" t="s">
        <v>1007</v>
      </c>
      <c r="E61" s="311" t="s">
        <v>1072</v>
      </c>
      <c r="F61" s="286">
        <v>59.9</v>
      </c>
      <c r="G61" s="313" t="s">
        <v>1073</v>
      </c>
    </row>
    <row r="62" spans="1:7" ht="25.2" x14ac:dyDescent="0.6">
      <c r="A62" s="312">
        <v>18145858000104</v>
      </c>
      <c r="B62" s="288">
        <v>4018145858</v>
      </c>
      <c r="C62" s="289" t="s">
        <v>1024</v>
      </c>
      <c r="D62" s="317" t="s">
        <v>1007</v>
      </c>
      <c r="E62" s="311" t="s">
        <v>1074</v>
      </c>
      <c r="F62" s="286">
        <v>59.9</v>
      </c>
      <c r="G62" s="313" t="s">
        <v>1075</v>
      </c>
    </row>
    <row r="63" spans="1:7" ht="25.2" x14ac:dyDescent="0.6">
      <c r="A63" s="312">
        <v>18145858000104</v>
      </c>
      <c r="B63" s="288">
        <v>4018145858</v>
      </c>
      <c r="C63" s="289" t="s">
        <v>1024</v>
      </c>
      <c r="D63" s="317" t="s">
        <v>1007</v>
      </c>
      <c r="E63" s="311" t="s">
        <v>1076</v>
      </c>
      <c r="F63" s="286">
        <v>59.9</v>
      </c>
      <c r="G63" s="313" t="s">
        <v>1077</v>
      </c>
    </row>
    <row r="64" spans="1:7" ht="25.2" x14ac:dyDescent="0.6">
      <c r="A64" s="312">
        <v>18145858000104</v>
      </c>
      <c r="B64" s="288">
        <v>4018145858</v>
      </c>
      <c r="C64" s="289" t="s">
        <v>1024</v>
      </c>
      <c r="D64" s="317" t="s">
        <v>1007</v>
      </c>
      <c r="E64" s="311"/>
      <c r="F64" s="286">
        <v>59.9</v>
      </c>
      <c r="G64" s="313" t="s">
        <v>1078</v>
      </c>
    </row>
    <row r="65" spans="1:7" ht="25.2" x14ac:dyDescent="0.6">
      <c r="A65" s="312">
        <v>18145858000104</v>
      </c>
      <c r="B65" s="288">
        <v>4018145858</v>
      </c>
      <c r="C65" s="289" t="s">
        <v>1024</v>
      </c>
      <c r="D65" s="317" t="s">
        <v>1007</v>
      </c>
      <c r="E65" s="311"/>
      <c r="F65" s="286">
        <v>59.9</v>
      </c>
      <c r="G65" s="313" t="s">
        <v>1079</v>
      </c>
    </row>
    <row r="66" spans="1:7" ht="25.2" x14ac:dyDescent="0.6">
      <c r="A66" s="312">
        <v>18145858000104</v>
      </c>
      <c r="B66" s="288">
        <v>4018145858</v>
      </c>
      <c r="C66" s="289" t="s">
        <v>1024</v>
      </c>
      <c r="D66" s="317" t="s">
        <v>1007</v>
      </c>
      <c r="E66" s="311" t="s">
        <v>1080</v>
      </c>
      <c r="F66" s="286">
        <v>59.9</v>
      </c>
      <c r="G66" s="313" t="s">
        <v>1081</v>
      </c>
    </row>
    <row r="67" spans="1:7" ht="15" x14ac:dyDescent="0.3">
      <c r="A67" s="312">
        <v>18145858000104</v>
      </c>
      <c r="B67" s="288">
        <v>4018145858</v>
      </c>
      <c r="C67" s="289" t="s">
        <v>1024</v>
      </c>
      <c r="D67" s="317"/>
      <c r="E67" s="311"/>
      <c r="F67" s="286">
        <v>59.9</v>
      </c>
      <c r="G67" s="313" t="s">
        <v>1082</v>
      </c>
    </row>
    <row r="68" spans="1:7" x14ac:dyDescent="0.35">
      <c r="D68" s="287"/>
    </row>
    <row r="69" spans="1:7" x14ac:dyDescent="0.35">
      <c r="D69" s="287"/>
    </row>
    <row r="70" spans="1:7" x14ac:dyDescent="0.35">
      <c r="D70" s="287"/>
    </row>
    <row r="71" spans="1:7" ht="15" x14ac:dyDescent="0.35">
      <c r="D71" s="298"/>
    </row>
    <row r="72" spans="1:7" x14ac:dyDescent="0.35">
      <c r="D72" s="287"/>
    </row>
    <row r="73" spans="1:7" x14ac:dyDescent="0.35">
      <c r="D73" s="287"/>
    </row>
    <row r="74" spans="1:7" x14ac:dyDescent="0.35">
      <c r="D74" s="287"/>
    </row>
    <row r="75" spans="1:7" x14ac:dyDescent="0.35">
      <c r="D75" s="287"/>
    </row>
    <row r="76" spans="1:7" x14ac:dyDescent="0.35">
      <c r="D76" s="287"/>
    </row>
    <row r="77" spans="1:7" ht="15" x14ac:dyDescent="0.35">
      <c r="D77" s="305"/>
    </row>
  </sheetData>
  <phoneticPr fontId="25" type="noConversion"/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D63C-0BCD-474B-817D-13D624C2CFD4}">
  <dimension ref="A1:O51"/>
  <sheetViews>
    <sheetView topLeftCell="A23" zoomScale="95" zoomScaleNormal="95" workbookViewId="0">
      <selection activeCell="C45" sqref="C45"/>
    </sheetView>
  </sheetViews>
  <sheetFormatPr defaultRowHeight="15" x14ac:dyDescent="0.35"/>
  <cols>
    <col min="1" max="1" width="18.453125" customWidth="1"/>
    <col min="2" max="2" width="21.6328125" style="2" customWidth="1"/>
    <col min="3" max="3" width="14.90625" customWidth="1"/>
    <col min="4" max="4" width="18.90625" style="2" customWidth="1"/>
    <col min="5" max="5" width="17.36328125" customWidth="1"/>
    <col min="6" max="6" width="16.36328125" customWidth="1"/>
    <col min="7" max="7" width="17.54296875" customWidth="1"/>
    <col min="8" max="8" width="12" customWidth="1"/>
    <col min="9" max="9" width="19.08984375" customWidth="1"/>
  </cols>
  <sheetData>
    <row r="1" spans="1:15" ht="30" x14ac:dyDescent="0.35">
      <c r="A1" s="454" t="s">
        <v>1083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</row>
    <row r="2" spans="1:15" x14ac:dyDescent="0.35">
      <c r="A2" s="253" t="s">
        <v>1</v>
      </c>
      <c r="B2" s="374" t="s">
        <v>632</v>
      </c>
      <c r="C2" s="337" t="s">
        <v>639</v>
      </c>
      <c r="D2" s="406" t="s">
        <v>1084</v>
      </c>
      <c r="E2" s="338" t="s">
        <v>1085</v>
      </c>
      <c r="F2" s="339" t="s">
        <v>6</v>
      </c>
      <c r="G2" s="339"/>
    </row>
    <row r="3" spans="1:15" x14ac:dyDescent="0.35">
      <c r="A3" s="2" t="s">
        <v>1086</v>
      </c>
      <c r="B3" s="375" t="s">
        <v>1087</v>
      </c>
      <c r="C3" s="335" t="s">
        <v>1088</v>
      </c>
      <c r="D3" s="407" t="s">
        <v>1089</v>
      </c>
      <c r="E3" s="285" t="s">
        <v>917</v>
      </c>
      <c r="F3" s="2" t="s">
        <v>538</v>
      </c>
      <c r="G3" s="2"/>
    </row>
    <row r="4" spans="1:15" x14ac:dyDescent="0.35">
      <c r="A4" s="2" t="s">
        <v>1090</v>
      </c>
      <c r="B4" s="375" t="s">
        <v>1091</v>
      </c>
      <c r="C4" s="336" t="s">
        <v>1092</v>
      </c>
      <c r="D4" s="407" t="s">
        <v>1093</v>
      </c>
      <c r="E4" s="285" t="s">
        <v>917</v>
      </c>
      <c r="F4" s="2" t="s">
        <v>538</v>
      </c>
      <c r="G4" s="2"/>
    </row>
    <row r="5" spans="1:15" x14ac:dyDescent="0.35">
      <c r="A5" s="2" t="s">
        <v>1094</v>
      </c>
      <c r="B5" s="375" t="s">
        <v>1095</v>
      </c>
      <c r="C5" s="336" t="s">
        <v>26</v>
      </c>
      <c r="D5" s="407" t="s">
        <v>1096</v>
      </c>
      <c r="E5" s="285" t="s">
        <v>917</v>
      </c>
      <c r="F5" s="2" t="s">
        <v>538</v>
      </c>
      <c r="G5" s="2"/>
      <c r="K5" s="292"/>
      <c r="L5" s="291"/>
      <c r="M5" s="285"/>
      <c r="N5" s="286"/>
      <c r="O5" s="2"/>
    </row>
    <row r="6" spans="1:15" x14ac:dyDescent="0.35">
      <c r="A6" s="2" t="s">
        <v>1097</v>
      </c>
      <c r="B6" s="375"/>
      <c r="C6" s="2"/>
      <c r="E6" s="285" t="s">
        <v>917</v>
      </c>
      <c r="F6" s="2" t="s">
        <v>538</v>
      </c>
      <c r="G6" s="2"/>
      <c r="K6" s="292"/>
      <c r="L6" s="291"/>
      <c r="M6" s="331"/>
      <c r="N6" s="286"/>
      <c r="O6" s="2"/>
    </row>
    <row r="7" spans="1:15" x14ac:dyDescent="0.35">
      <c r="A7" s="2" t="s">
        <v>1098</v>
      </c>
      <c r="B7" s="375" t="s">
        <v>1099</v>
      </c>
      <c r="C7" s="2" t="s">
        <v>1092</v>
      </c>
      <c r="D7" s="407" t="s">
        <v>1100</v>
      </c>
      <c r="E7" s="285" t="s">
        <v>917</v>
      </c>
      <c r="F7" s="2" t="s">
        <v>538</v>
      </c>
      <c r="G7" s="2"/>
      <c r="I7" s="354"/>
      <c r="J7" s="354"/>
      <c r="K7" s="12"/>
      <c r="L7" s="291"/>
      <c r="M7" s="331"/>
      <c r="N7" s="286"/>
      <c r="O7" s="2"/>
    </row>
    <row r="8" spans="1:15" x14ac:dyDescent="0.35">
      <c r="A8" s="2" t="s">
        <v>1101</v>
      </c>
      <c r="B8" s="375" t="s">
        <v>173</v>
      </c>
      <c r="C8" s="2" t="s">
        <v>1092</v>
      </c>
      <c r="D8" s="407" t="s">
        <v>1102</v>
      </c>
      <c r="E8" s="285" t="s">
        <v>917</v>
      </c>
      <c r="F8" s="2" t="s">
        <v>538</v>
      </c>
      <c r="G8" s="2"/>
      <c r="I8" s="12"/>
      <c r="J8" s="12"/>
      <c r="K8" s="12"/>
      <c r="L8" s="291"/>
      <c r="M8" s="331"/>
      <c r="N8" s="286"/>
      <c r="O8" s="2"/>
    </row>
    <row r="9" spans="1:15" x14ac:dyDescent="0.35">
      <c r="A9" s="2" t="s">
        <v>1103</v>
      </c>
      <c r="B9" s="375" t="s">
        <v>257</v>
      </c>
      <c r="C9" s="2" t="s">
        <v>14</v>
      </c>
      <c r="D9" s="407" t="s">
        <v>1104</v>
      </c>
      <c r="E9" s="285" t="s">
        <v>917</v>
      </c>
      <c r="F9" s="2" t="s">
        <v>538</v>
      </c>
      <c r="G9" s="2"/>
    </row>
    <row r="10" spans="1:15" x14ac:dyDescent="0.35">
      <c r="A10" s="2" t="s">
        <v>1105</v>
      </c>
      <c r="B10" s="375" t="s">
        <v>1106</v>
      </c>
      <c r="C10" s="2" t="s">
        <v>26</v>
      </c>
      <c r="D10" s="407" t="s">
        <v>1107</v>
      </c>
      <c r="E10" s="285" t="s">
        <v>917</v>
      </c>
      <c r="F10" s="2" t="s">
        <v>538</v>
      </c>
      <c r="G10" s="2"/>
    </row>
    <row r="11" spans="1:15" x14ac:dyDescent="0.35">
      <c r="A11" s="2" t="s">
        <v>1108</v>
      </c>
      <c r="B11" s="375" t="s">
        <v>1109</v>
      </c>
      <c r="C11" s="2" t="s">
        <v>26</v>
      </c>
      <c r="D11" s="407" t="s">
        <v>1107</v>
      </c>
      <c r="E11" s="285" t="s">
        <v>917</v>
      </c>
      <c r="F11" s="2" t="s">
        <v>538</v>
      </c>
      <c r="G11" s="2"/>
    </row>
    <row r="12" spans="1:15" x14ac:dyDescent="0.35">
      <c r="A12" s="2" t="s">
        <v>1110</v>
      </c>
      <c r="B12" s="375" t="s">
        <v>1111</v>
      </c>
      <c r="C12" s="2" t="s">
        <v>97</v>
      </c>
      <c r="D12" s="407" t="s">
        <v>1112</v>
      </c>
      <c r="E12" s="285" t="s">
        <v>917</v>
      </c>
      <c r="F12" s="2" t="s">
        <v>918</v>
      </c>
      <c r="G12" s="2"/>
    </row>
    <row r="13" spans="1:15" x14ac:dyDescent="0.35">
      <c r="A13" s="2" t="s">
        <v>1113</v>
      </c>
      <c r="B13" s="375" t="s">
        <v>328</v>
      </c>
      <c r="C13" s="2" t="s">
        <v>115</v>
      </c>
      <c r="D13" s="407" t="s">
        <v>1114</v>
      </c>
      <c r="E13" s="285" t="s">
        <v>917</v>
      </c>
      <c r="F13" s="2" t="s">
        <v>538</v>
      </c>
      <c r="G13" s="2"/>
    </row>
    <row r="14" spans="1:15" x14ac:dyDescent="0.35">
      <c r="A14" s="2" t="s">
        <v>1115</v>
      </c>
      <c r="B14" s="375" t="s">
        <v>1116</v>
      </c>
      <c r="C14" s="2" t="s">
        <v>14</v>
      </c>
      <c r="D14" s="407" t="s">
        <v>1114</v>
      </c>
      <c r="E14" s="285" t="s">
        <v>917</v>
      </c>
      <c r="F14" s="2" t="s">
        <v>538</v>
      </c>
      <c r="G14" s="2"/>
    </row>
    <row r="15" spans="1:15" x14ac:dyDescent="0.35">
      <c r="A15" s="2" t="s">
        <v>1117</v>
      </c>
      <c r="B15" s="375" t="s">
        <v>1118</v>
      </c>
      <c r="C15" s="2" t="s">
        <v>1119</v>
      </c>
      <c r="D15" s="407" t="s">
        <v>1120</v>
      </c>
      <c r="E15" s="285" t="s">
        <v>917</v>
      </c>
      <c r="F15" s="2" t="s">
        <v>538</v>
      </c>
      <c r="G15" s="2"/>
    </row>
    <row r="16" spans="1:15" x14ac:dyDescent="0.35">
      <c r="A16" s="2" t="s">
        <v>1121</v>
      </c>
      <c r="B16" s="375" t="s">
        <v>1122</v>
      </c>
      <c r="C16" s="2" t="s">
        <v>1119</v>
      </c>
      <c r="D16" s="407" t="s">
        <v>1123</v>
      </c>
      <c r="E16" s="285" t="s">
        <v>917</v>
      </c>
      <c r="F16" s="2" t="s">
        <v>538</v>
      </c>
      <c r="G16" s="2"/>
    </row>
    <row r="17" spans="1:7" x14ac:dyDescent="0.35">
      <c r="A17" s="2" t="s">
        <v>1124</v>
      </c>
      <c r="B17" s="375" t="s">
        <v>1125</v>
      </c>
      <c r="C17" s="2" t="s">
        <v>14</v>
      </c>
      <c r="D17" s="407" t="s">
        <v>1114</v>
      </c>
      <c r="E17" s="285" t="s">
        <v>917</v>
      </c>
      <c r="F17" s="2" t="s">
        <v>538</v>
      </c>
      <c r="G17" s="2"/>
    </row>
    <row r="18" spans="1:7" x14ac:dyDescent="0.35">
      <c r="A18" s="2" t="s">
        <v>1126</v>
      </c>
      <c r="B18" s="376" t="s">
        <v>1127</v>
      </c>
      <c r="C18" s="2" t="s">
        <v>1119</v>
      </c>
      <c r="D18" s="407" t="s">
        <v>1128</v>
      </c>
      <c r="E18" s="285" t="s">
        <v>917</v>
      </c>
      <c r="F18" s="2" t="s">
        <v>538</v>
      </c>
      <c r="G18" s="2"/>
    </row>
    <row r="19" spans="1:7" x14ac:dyDescent="0.35">
      <c r="A19" s="2" t="s">
        <v>1129</v>
      </c>
      <c r="B19" s="2" t="s">
        <v>1130</v>
      </c>
      <c r="C19" s="2" t="s">
        <v>897</v>
      </c>
      <c r="D19" s="2" t="s">
        <v>926</v>
      </c>
      <c r="E19" s="285" t="s">
        <v>917</v>
      </c>
      <c r="F19" s="2" t="s">
        <v>538</v>
      </c>
      <c r="G19" s="2"/>
    </row>
    <row r="20" spans="1:7" x14ac:dyDescent="0.35">
      <c r="A20" s="2" t="s">
        <v>1131</v>
      </c>
      <c r="B20" s="2" t="s">
        <v>1132</v>
      </c>
      <c r="C20" s="2" t="s">
        <v>14</v>
      </c>
      <c r="D20" s="407" t="s">
        <v>1114</v>
      </c>
      <c r="E20" s="285" t="s">
        <v>917</v>
      </c>
      <c r="F20" s="2" t="s">
        <v>538</v>
      </c>
      <c r="G20" s="2"/>
    </row>
    <row r="21" spans="1:7" x14ac:dyDescent="0.35">
      <c r="A21" s="2" t="s">
        <v>1133</v>
      </c>
      <c r="B21" s="2" t="s">
        <v>1039</v>
      </c>
      <c r="C21" s="2" t="s">
        <v>1092</v>
      </c>
      <c r="D21" s="407" t="s">
        <v>1134</v>
      </c>
      <c r="E21" s="285" t="s">
        <v>917</v>
      </c>
      <c r="F21" s="2" t="s">
        <v>538</v>
      </c>
      <c r="G21" s="2"/>
    </row>
    <row r="22" spans="1:7" x14ac:dyDescent="0.35">
      <c r="A22" s="2" t="s">
        <v>1135</v>
      </c>
      <c r="B22" s="2" t="s">
        <v>1136</v>
      </c>
      <c r="C22" s="2" t="s">
        <v>1119</v>
      </c>
      <c r="D22" s="407" t="s">
        <v>1137</v>
      </c>
      <c r="E22" s="285" t="s">
        <v>917</v>
      </c>
      <c r="F22" s="2" t="s">
        <v>538</v>
      </c>
      <c r="G22" s="2"/>
    </row>
    <row r="23" spans="1:7" x14ac:dyDescent="0.35">
      <c r="A23" s="2" t="s">
        <v>1138</v>
      </c>
      <c r="B23" s="2" t="s">
        <v>653</v>
      </c>
      <c r="C23" s="2" t="s">
        <v>137</v>
      </c>
      <c r="D23" s="2" t="s">
        <v>1139</v>
      </c>
      <c r="E23" s="285" t="s">
        <v>917</v>
      </c>
      <c r="F23" s="2" t="s">
        <v>538</v>
      </c>
      <c r="G23" s="2"/>
    </row>
    <row r="24" spans="1:7" x14ac:dyDescent="0.35">
      <c r="A24" s="2" t="s">
        <v>1140</v>
      </c>
      <c r="B24" s="2" t="s">
        <v>651</v>
      </c>
      <c r="C24" s="2" t="s">
        <v>137</v>
      </c>
      <c r="D24" s="2" t="s">
        <v>1141</v>
      </c>
      <c r="E24" s="285" t="s">
        <v>917</v>
      </c>
      <c r="F24" s="2" t="s">
        <v>918</v>
      </c>
      <c r="G24" s="2"/>
    </row>
    <row r="25" spans="1:7" x14ac:dyDescent="0.35">
      <c r="A25" s="2" t="s">
        <v>1142</v>
      </c>
      <c r="C25" s="2"/>
      <c r="D25" s="2" t="s">
        <v>1143</v>
      </c>
      <c r="E25" s="285" t="s">
        <v>917</v>
      </c>
      <c r="F25" s="2" t="s">
        <v>538</v>
      </c>
      <c r="G25" s="2"/>
    </row>
    <row r="26" spans="1:7" x14ac:dyDescent="0.35">
      <c r="A26" s="2" t="s">
        <v>1144</v>
      </c>
      <c r="B26" s="2" t="s">
        <v>153</v>
      </c>
      <c r="C26" s="2" t="s">
        <v>1088</v>
      </c>
      <c r="D26" s="2" t="s">
        <v>1145</v>
      </c>
      <c r="E26" s="285" t="s">
        <v>917</v>
      </c>
      <c r="F26" s="2" t="s">
        <v>538</v>
      </c>
      <c r="G26" s="2"/>
    </row>
    <row r="27" spans="1:7" x14ac:dyDescent="0.35">
      <c r="A27" s="2" t="s">
        <v>1146</v>
      </c>
      <c r="B27" s="2" t="s">
        <v>280</v>
      </c>
      <c r="C27" s="2" t="s">
        <v>145</v>
      </c>
      <c r="D27" s="2" t="s">
        <v>1147</v>
      </c>
      <c r="E27" s="285" t="s">
        <v>917</v>
      </c>
      <c r="F27" s="2" t="s">
        <v>538</v>
      </c>
      <c r="G27" s="2"/>
    </row>
    <row r="28" spans="1:7" x14ac:dyDescent="0.35">
      <c r="A28" s="2" t="s">
        <v>1148</v>
      </c>
      <c r="B28" s="2" t="s">
        <v>1149</v>
      </c>
      <c r="C28" s="2" t="s">
        <v>110</v>
      </c>
      <c r="D28" s="2" t="s">
        <v>1150</v>
      </c>
      <c r="E28" s="285" t="s">
        <v>917</v>
      </c>
      <c r="F28" s="2" t="s">
        <v>538</v>
      </c>
      <c r="G28" s="2"/>
    </row>
    <row r="29" spans="1:7" x14ac:dyDescent="0.35">
      <c r="A29" s="2" t="s">
        <v>1151</v>
      </c>
      <c r="B29" s="2" t="s">
        <v>1152</v>
      </c>
      <c r="C29" s="2" t="s">
        <v>451</v>
      </c>
      <c r="D29" s="2" t="s">
        <v>1153</v>
      </c>
      <c r="E29" s="285" t="s">
        <v>917</v>
      </c>
      <c r="F29" s="2" t="s">
        <v>538</v>
      </c>
      <c r="G29" s="2"/>
    </row>
    <row r="30" spans="1:7" x14ac:dyDescent="0.35">
      <c r="A30" s="92" t="s">
        <v>1154</v>
      </c>
      <c r="B30" s="92" t="s">
        <v>1155</v>
      </c>
      <c r="C30" s="92" t="s">
        <v>1156</v>
      </c>
      <c r="D30" s="92" t="s">
        <v>1157</v>
      </c>
      <c r="E30" s="342" t="s">
        <v>917</v>
      </c>
      <c r="F30" s="92" t="s">
        <v>538</v>
      </c>
      <c r="G30" s="2"/>
    </row>
    <row r="31" spans="1:7" x14ac:dyDescent="0.35">
      <c r="A31" s="2" t="s">
        <v>1158</v>
      </c>
      <c r="B31" s="2" t="s">
        <v>1159</v>
      </c>
      <c r="C31" s="2" t="s">
        <v>14</v>
      </c>
      <c r="D31" s="2" t="s">
        <v>1160</v>
      </c>
      <c r="E31" s="285" t="s">
        <v>917</v>
      </c>
      <c r="F31" s="2" t="s">
        <v>931</v>
      </c>
      <c r="G31" s="2"/>
    </row>
    <row r="32" spans="1:7" x14ac:dyDescent="0.35">
      <c r="A32" s="2" t="s">
        <v>1161</v>
      </c>
      <c r="B32" s="2" t="s">
        <v>140</v>
      </c>
      <c r="C32" s="2" t="s">
        <v>184</v>
      </c>
      <c r="D32" s="2" t="s">
        <v>1162</v>
      </c>
      <c r="E32" s="285" t="s">
        <v>917</v>
      </c>
      <c r="F32" s="2" t="s">
        <v>538</v>
      </c>
      <c r="G32" s="2"/>
    </row>
    <row r="33" spans="1:13" x14ac:dyDescent="0.35">
      <c r="A33" s="2" t="s">
        <v>1163</v>
      </c>
      <c r="B33" s="2" t="s">
        <v>180</v>
      </c>
      <c r="C33" s="2" t="s">
        <v>181</v>
      </c>
      <c r="D33" s="2" t="s">
        <v>1164</v>
      </c>
      <c r="E33" s="285" t="s">
        <v>940</v>
      </c>
      <c r="F33" s="306" t="s">
        <v>941</v>
      </c>
      <c r="G33" s="2"/>
    </row>
    <row r="34" spans="1:13" x14ac:dyDescent="0.35">
      <c r="A34" s="411" t="s">
        <v>1165</v>
      </c>
      <c r="B34" s="411" t="s">
        <v>1166</v>
      </c>
      <c r="C34" s="411" t="s">
        <v>97</v>
      </c>
      <c r="D34" s="411" t="s">
        <v>1167</v>
      </c>
      <c r="E34" s="412"/>
      <c r="F34" s="412"/>
      <c r="G34" s="2"/>
    </row>
    <row r="35" spans="1:13" x14ac:dyDescent="0.35">
      <c r="A35" s="92" t="s">
        <v>1168</v>
      </c>
      <c r="B35" s="92" t="s">
        <v>301</v>
      </c>
      <c r="C35" s="92" t="s">
        <v>1092</v>
      </c>
      <c r="D35" s="92" t="s">
        <v>1169</v>
      </c>
      <c r="E35" s="342" t="s">
        <v>917</v>
      </c>
      <c r="F35" s="92" t="s">
        <v>538</v>
      </c>
      <c r="G35" s="2"/>
    </row>
    <row r="36" spans="1:13" x14ac:dyDescent="0.35">
      <c r="A36" s="92" t="s">
        <v>1170</v>
      </c>
      <c r="B36" s="408" t="s">
        <v>195</v>
      </c>
      <c r="C36" s="92" t="s">
        <v>79</v>
      </c>
      <c r="D36" s="92" t="s">
        <v>1171</v>
      </c>
      <c r="E36" s="342" t="s">
        <v>917</v>
      </c>
      <c r="F36" s="92" t="s">
        <v>918</v>
      </c>
      <c r="G36" s="389"/>
      <c r="I36" s="2"/>
      <c r="J36" s="2"/>
      <c r="L36" s="2"/>
    </row>
    <row r="37" spans="1:13" x14ac:dyDescent="0.35">
      <c r="A37" s="92" t="s">
        <v>1172</v>
      </c>
      <c r="B37" s="408" t="s">
        <v>933</v>
      </c>
      <c r="C37" s="92" t="s">
        <v>35</v>
      </c>
      <c r="D37" s="92" t="s">
        <v>934</v>
      </c>
      <c r="E37" s="92" t="s">
        <v>725</v>
      </c>
      <c r="F37" s="92" t="s">
        <v>911</v>
      </c>
    </row>
    <row r="38" spans="1:13" x14ac:dyDescent="0.35">
      <c r="A38" s="92" t="s">
        <v>1173</v>
      </c>
      <c r="B38" s="409" t="s">
        <v>935</v>
      </c>
      <c r="C38" s="92" t="s">
        <v>35</v>
      </c>
      <c r="D38" s="410" t="s">
        <v>936</v>
      </c>
      <c r="E38" s="92" t="s">
        <v>725</v>
      </c>
      <c r="F38" s="92" t="s">
        <v>911</v>
      </c>
      <c r="H38" s="389"/>
      <c r="I38" s="12"/>
      <c r="J38" s="2"/>
      <c r="K38" s="2"/>
      <c r="M38" s="2"/>
    </row>
    <row r="39" spans="1:13" x14ac:dyDescent="0.35">
      <c r="A39" s="411" t="s">
        <v>1165</v>
      </c>
      <c r="B39" s="413" t="s">
        <v>205</v>
      </c>
      <c r="C39" s="411" t="s">
        <v>962</v>
      </c>
      <c r="D39" s="414" t="s">
        <v>963</v>
      </c>
      <c r="E39" s="412"/>
      <c r="F39" s="412"/>
      <c r="H39" s="76"/>
      <c r="J39" s="2"/>
      <c r="K39" s="2"/>
      <c r="M39" s="324"/>
    </row>
    <row r="40" spans="1:13" x14ac:dyDescent="0.35">
      <c r="A40" s="411" t="s">
        <v>1174</v>
      </c>
      <c r="B40" s="413" t="s">
        <v>977</v>
      </c>
      <c r="C40" s="411" t="s">
        <v>962</v>
      </c>
      <c r="D40" s="411" t="s">
        <v>978</v>
      </c>
      <c r="E40" s="412"/>
      <c r="F40" s="412"/>
    </row>
    <row r="41" spans="1:13" x14ac:dyDescent="0.35">
      <c r="A41" s="92" t="s">
        <v>1175</v>
      </c>
      <c r="B41" s="408" t="s">
        <v>195</v>
      </c>
      <c r="C41" s="92" t="s">
        <v>79</v>
      </c>
      <c r="D41" s="92" t="s">
        <v>1176</v>
      </c>
      <c r="E41" s="92" t="s">
        <v>917</v>
      </c>
      <c r="F41" s="92" t="s">
        <v>918</v>
      </c>
    </row>
    <row r="42" spans="1:13" x14ac:dyDescent="0.35">
      <c r="A42" s="92" t="s">
        <v>1177</v>
      </c>
      <c r="B42" s="408" t="s">
        <v>909</v>
      </c>
      <c r="C42" s="92" t="s">
        <v>910</v>
      </c>
      <c r="D42" s="410" t="s">
        <v>912</v>
      </c>
      <c r="E42" s="92" t="s">
        <v>725</v>
      </c>
      <c r="F42" s="92" t="s">
        <v>911</v>
      </c>
    </row>
    <row r="43" spans="1:13" x14ac:dyDescent="0.35">
      <c r="A43" s="92" t="s">
        <v>1178</v>
      </c>
      <c r="B43" s="92" t="s">
        <v>1179</v>
      </c>
      <c r="C43" s="92" t="s">
        <v>1180</v>
      </c>
      <c r="D43" s="92" t="s">
        <v>1181</v>
      </c>
      <c r="E43" s="92" t="s">
        <v>725</v>
      </c>
      <c r="F43" s="92" t="s">
        <v>1009</v>
      </c>
      <c r="H43" s="2"/>
    </row>
    <row r="44" spans="1:13" x14ac:dyDescent="0.35">
      <c r="A44" s="92" t="s">
        <v>1182</v>
      </c>
      <c r="B44" s="416" t="s">
        <v>955</v>
      </c>
      <c r="C44" s="2" t="s">
        <v>800</v>
      </c>
      <c r="D44" s="2" t="s">
        <v>1183</v>
      </c>
      <c r="E44" s="2"/>
      <c r="F44" s="2"/>
      <c r="H44" s="2"/>
    </row>
    <row r="45" spans="1:13" x14ac:dyDescent="0.35">
      <c r="A45" s="92" t="s">
        <v>1184</v>
      </c>
      <c r="B45" s="2" t="s">
        <v>175</v>
      </c>
    </row>
    <row r="51" spans="5:10" x14ac:dyDescent="0.35">
      <c r="E51" s="389" t="s">
        <v>955</v>
      </c>
      <c r="F51" t="s">
        <v>800</v>
      </c>
      <c r="G51" s="2"/>
      <c r="H51" s="2"/>
      <c r="J51" s="2" t="s">
        <v>956</v>
      </c>
    </row>
  </sheetData>
  <mergeCells count="1">
    <mergeCell ref="A1:K1"/>
  </mergeCells>
  <phoneticPr fontId="25" type="noConversion"/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289A5-0007-4812-A754-E23B324731D6}">
  <sheetPr>
    <tabColor rgb="FF00B050"/>
  </sheetPr>
  <dimension ref="A1:H33"/>
  <sheetViews>
    <sheetView workbookViewId="0"/>
  </sheetViews>
  <sheetFormatPr defaultRowHeight="15" x14ac:dyDescent="0.35"/>
  <cols>
    <col min="1" max="1" width="18.81640625" style="2" customWidth="1"/>
    <col min="2" max="2" width="16.08984375" style="2" customWidth="1"/>
    <col min="3" max="3" width="17.90625" style="2" customWidth="1"/>
    <col min="4" max="4" width="13.81640625" style="2" customWidth="1"/>
    <col min="5" max="5" width="11.81640625" style="2" customWidth="1"/>
  </cols>
  <sheetData>
    <row r="1" spans="1:8" ht="84.6" customHeight="1" x14ac:dyDescent="0.35">
      <c r="A1" s="43" t="s">
        <v>1185</v>
      </c>
      <c r="B1" s="43"/>
      <c r="C1" s="43"/>
      <c r="D1" s="43"/>
      <c r="E1" s="45"/>
    </row>
    <row r="2" spans="1:8" x14ac:dyDescent="0.35">
      <c r="A2" s="44" t="s">
        <v>1186</v>
      </c>
      <c r="B2" s="37"/>
      <c r="C2" s="37"/>
      <c r="D2" s="44" t="s">
        <v>1187</v>
      </c>
      <c r="E2" s="46"/>
    </row>
    <row r="3" spans="1:8" x14ac:dyDescent="0.35">
      <c r="A3" s="37" t="s">
        <v>1188</v>
      </c>
      <c r="B3" s="37">
        <v>7</v>
      </c>
      <c r="C3" s="37"/>
      <c r="D3" s="37" t="s">
        <v>1188</v>
      </c>
      <c r="E3" s="37">
        <v>8</v>
      </c>
    </row>
    <row r="7" spans="1:8" s="39" customFormat="1" x14ac:dyDescent="0.35">
      <c r="A7" s="41" t="s">
        <v>2</v>
      </c>
      <c r="B7" s="41" t="s">
        <v>3</v>
      </c>
      <c r="C7" s="41" t="s">
        <v>1189</v>
      </c>
      <c r="D7" s="41" t="s">
        <v>1190</v>
      </c>
      <c r="E7" s="41" t="s">
        <v>1191</v>
      </c>
    </row>
    <row r="8" spans="1:8" x14ac:dyDescent="0.35">
      <c r="A8" s="2" t="s">
        <v>1192</v>
      </c>
      <c r="B8" s="2" t="s">
        <v>35</v>
      </c>
      <c r="C8" s="2" t="s">
        <v>1193</v>
      </c>
      <c r="D8" s="2" t="s">
        <v>637</v>
      </c>
    </row>
    <row r="9" spans="1:8" x14ac:dyDescent="0.35">
      <c r="A9" s="2" t="s">
        <v>328</v>
      </c>
      <c r="B9" s="2" t="s">
        <v>115</v>
      </c>
      <c r="C9" s="2" t="s">
        <v>1194</v>
      </c>
      <c r="D9" s="2" t="s">
        <v>637</v>
      </c>
    </row>
    <row r="10" spans="1:8" x14ac:dyDescent="0.35">
      <c r="A10" s="2" t="s">
        <v>468</v>
      </c>
      <c r="B10" s="2" t="s">
        <v>188</v>
      </c>
      <c r="C10" s="2" t="s">
        <v>1195</v>
      </c>
      <c r="D10" s="2" t="s">
        <v>637</v>
      </c>
      <c r="E10" s="47">
        <v>45476</v>
      </c>
    </row>
    <row r="11" spans="1:8" x14ac:dyDescent="0.35">
      <c r="A11" s="2" t="s">
        <v>1196</v>
      </c>
      <c r="B11" s="2" t="s">
        <v>79</v>
      </c>
      <c r="C11" s="2" t="s">
        <v>1193</v>
      </c>
      <c r="D11" s="2" t="s">
        <v>637</v>
      </c>
      <c r="E11" s="47">
        <v>45478</v>
      </c>
      <c r="H11" s="33"/>
    </row>
    <row r="12" spans="1:8" x14ac:dyDescent="0.35">
      <c r="A12" s="2" t="s">
        <v>1197</v>
      </c>
      <c r="B12" s="2" t="s">
        <v>115</v>
      </c>
      <c r="C12" s="2" t="s">
        <v>1198</v>
      </c>
      <c r="D12" s="2" t="s">
        <v>637</v>
      </c>
      <c r="E12" s="47">
        <v>45481</v>
      </c>
    </row>
    <row r="13" spans="1:8" x14ac:dyDescent="0.35">
      <c r="A13" s="2" t="s">
        <v>489</v>
      </c>
      <c r="B13" s="2" t="s">
        <v>184</v>
      </c>
      <c r="C13" s="2" t="s">
        <v>1194</v>
      </c>
      <c r="D13" s="2" t="s">
        <v>637</v>
      </c>
      <c r="E13" s="47">
        <v>45488</v>
      </c>
    </row>
    <row r="14" spans="1:8" x14ac:dyDescent="0.35">
      <c r="A14" s="2" t="s">
        <v>1197</v>
      </c>
      <c r="B14" s="2" t="s">
        <v>115</v>
      </c>
      <c r="C14" s="2" t="s">
        <v>1195</v>
      </c>
      <c r="D14" s="2" t="s">
        <v>637</v>
      </c>
      <c r="E14" s="47">
        <v>45488</v>
      </c>
    </row>
    <row r="15" spans="1:8" x14ac:dyDescent="0.35">
      <c r="A15" s="2" t="s">
        <v>1106</v>
      </c>
      <c r="B15" s="2" t="s">
        <v>67</v>
      </c>
      <c r="C15" s="2" t="s">
        <v>1193</v>
      </c>
      <c r="D15" s="2" t="s">
        <v>637</v>
      </c>
      <c r="E15" s="47">
        <v>45488</v>
      </c>
    </row>
    <row r="16" spans="1:8" x14ac:dyDescent="0.35">
      <c r="A16" s="2" t="s">
        <v>670</v>
      </c>
      <c r="B16" s="2" t="s">
        <v>1199</v>
      </c>
      <c r="C16" s="2" t="s">
        <v>1193</v>
      </c>
      <c r="D16" s="48" t="s">
        <v>1200</v>
      </c>
      <c r="E16" s="47">
        <v>45489</v>
      </c>
    </row>
    <row r="17" spans="1:5" x14ac:dyDescent="0.35">
      <c r="A17" s="2" t="s">
        <v>195</v>
      </c>
      <c r="B17" s="2" t="s">
        <v>79</v>
      </c>
      <c r="C17" s="2" t="s">
        <v>1195</v>
      </c>
      <c r="D17" s="2" t="s">
        <v>1201</v>
      </c>
      <c r="E17" s="47">
        <v>45490</v>
      </c>
    </row>
    <row r="18" spans="1:5" x14ac:dyDescent="0.35">
      <c r="A18" s="2" t="s">
        <v>205</v>
      </c>
      <c r="B18" s="2" t="s">
        <v>137</v>
      </c>
      <c r="C18" s="2" t="s">
        <v>1195</v>
      </c>
      <c r="D18" s="2" t="s">
        <v>1202</v>
      </c>
      <c r="E18" s="47">
        <v>45491</v>
      </c>
    </row>
    <row r="19" spans="1:5" x14ac:dyDescent="0.35">
      <c r="A19" s="2" t="s">
        <v>1203</v>
      </c>
      <c r="B19" s="2" t="s">
        <v>72</v>
      </c>
      <c r="C19" s="2" t="s">
        <v>1194</v>
      </c>
      <c r="D19" s="2" t="s">
        <v>637</v>
      </c>
      <c r="E19" s="47">
        <v>45492</v>
      </c>
    </row>
    <row r="20" spans="1:5" x14ac:dyDescent="0.35">
      <c r="A20" s="2" t="s">
        <v>195</v>
      </c>
      <c r="B20" s="2" t="s">
        <v>79</v>
      </c>
      <c r="C20" s="2" t="s">
        <v>1195</v>
      </c>
      <c r="D20" s="2" t="s">
        <v>637</v>
      </c>
      <c r="E20" s="47">
        <v>45497</v>
      </c>
    </row>
    <row r="21" spans="1:5" x14ac:dyDescent="0.35">
      <c r="A21" s="2" t="s">
        <v>1204</v>
      </c>
      <c r="B21" s="2" t="s">
        <v>30</v>
      </c>
      <c r="C21" s="2" t="s">
        <v>1194</v>
      </c>
      <c r="D21" s="2" t="s">
        <v>637</v>
      </c>
      <c r="E21" s="47">
        <v>45504</v>
      </c>
    </row>
    <row r="22" spans="1:5" x14ac:dyDescent="0.35">
      <c r="A22" s="2" t="s">
        <v>265</v>
      </c>
      <c r="B22" s="2" t="s">
        <v>30</v>
      </c>
      <c r="C22" s="2" t="s">
        <v>1195</v>
      </c>
      <c r="D22" s="2" t="s">
        <v>637</v>
      </c>
      <c r="E22" s="47">
        <v>45504</v>
      </c>
    </row>
    <row r="23" spans="1:5" x14ac:dyDescent="0.35">
      <c r="A23" s="2" t="s">
        <v>230</v>
      </c>
      <c r="B23" s="2" t="s">
        <v>30</v>
      </c>
      <c r="C23" s="2" t="s">
        <v>1194</v>
      </c>
      <c r="D23" s="2" t="s">
        <v>637</v>
      </c>
      <c r="E23" s="47">
        <v>45516</v>
      </c>
    </row>
    <row r="24" spans="1:5" x14ac:dyDescent="0.35">
      <c r="A24" s="2" t="s">
        <v>166</v>
      </c>
      <c r="B24" s="2" t="s">
        <v>30</v>
      </c>
      <c r="C24" s="2" t="s">
        <v>1194</v>
      </c>
      <c r="D24" s="2" t="s">
        <v>637</v>
      </c>
      <c r="E24" s="47">
        <v>45519</v>
      </c>
    </row>
    <row r="25" spans="1:5" x14ac:dyDescent="0.35">
      <c r="A25" s="2" t="s">
        <v>1205</v>
      </c>
      <c r="B25" s="2" t="s">
        <v>493</v>
      </c>
      <c r="C25" s="2" t="s">
        <v>1194</v>
      </c>
      <c r="D25" s="2" t="s">
        <v>637</v>
      </c>
      <c r="E25" s="47">
        <v>45520</v>
      </c>
    </row>
    <row r="26" spans="1:5" x14ac:dyDescent="0.35">
      <c r="A26" s="2" t="s">
        <v>166</v>
      </c>
      <c r="B26" s="2" t="s">
        <v>72</v>
      </c>
      <c r="C26" s="2" t="s">
        <v>1206</v>
      </c>
      <c r="D26" s="2" t="s">
        <v>1207</v>
      </c>
      <c r="E26" s="47">
        <v>45524</v>
      </c>
    </row>
    <row r="27" spans="1:5" x14ac:dyDescent="0.35">
      <c r="A27" s="2" t="s">
        <v>1208</v>
      </c>
      <c r="B27" s="2" t="s">
        <v>67</v>
      </c>
      <c r="C27" s="2" t="s">
        <v>1195</v>
      </c>
      <c r="D27" s="2" t="s">
        <v>637</v>
      </c>
      <c r="E27" s="47">
        <v>45674</v>
      </c>
    </row>
    <row r="28" spans="1:5" x14ac:dyDescent="0.35">
      <c r="A28" s="2" t="s">
        <v>230</v>
      </c>
      <c r="B28" s="2" t="s">
        <v>30</v>
      </c>
      <c r="C28" s="2" t="s">
        <v>1209</v>
      </c>
      <c r="D28" s="2" t="s">
        <v>637</v>
      </c>
      <c r="E28" s="47">
        <v>45708</v>
      </c>
    </row>
    <row r="29" spans="1:5" x14ac:dyDescent="0.35">
      <c r="A29" s="2" t="s">
        <v>1205</v>
      </c>
      <c r="B29" s="2" t="s">
        <v>30</v>
      </c>
      <c r="C29" s="2" t="s">
        <v>1210</v>
      </c>
      <c r="D29" s="2" t="s">
        <v>1201</v>
      </c>
      <c r="E29" s="47">
        <v>45721</v>
      </c>
    </row>
    <row r="30" spans="1:5" x14ac:dyDescent="0.35">
      <c r="A30" s="2" t="s">
        <v>1211</v>
      </c>
      <c r="B30" s="2" t="s">
        <v>72</v>
      </c>
      <c r="C30" s="2" t="s">
        <v>1195</v>
      </c>
      <c r="D30" s="2" t="s">
        <v>1212</v>
      </c>
      <c r="E30" s="47">
        <v>45721</v>
      </c>
    </row>
    <row r="31" spans="1:5" x14ac:dyDescent="0.35">
      <c r="A31" s="2" t="s">
        <v>273</v>
      </c>
      <c r="B31" s="2" t="s">
        <v>79</v>
      </c>
      <c r="C31" s="2" t="s">
        <v>1194</v>
      </c>
      <c r="D31" s="2" t="s">
        <v>637</v>
      </c>
      <c r="E31" s="47">
        <v>45721</v>
      </c>
    </row>
    <row r="32" spans="1:5" x14ac:dyDescent="0.35">
      <c r="A32" s="2" t="s">
        <v>166</v>
      </c>
      <c r="B32" s="2" t="s">
        <v>30</v>
      </c>
      <c r="C32" s="2" t="s">
        <v>1194</v>
      </c>
      <c r="D32" s="2" t="s">
        <v>637</v>
      </c>
      <c r="E32" s="47">
        <v>45721</v>
      </c>
    </row>
    <row r="33" spans="1:5" x14ac:dyDescent="0.35">
      <c r="A33" s="2" t="s">
        <v>659</v>
      </c>
      <c r="B33" s="2" t="s">
        <v>188</v>
      </c>
      <c r="C33" s="2" t="s">
        <v>1213</v>
      </c>
      <c r="D33" s="2" t="s">
        <v>637</v>
      </c>
      <c r="E33" s="47">
        <v>45722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E06C-8E18-4ECA-A395-3DBFBEC1E9AB}">
  <sheetPr>
    <tabColor rgb="FF00B050"/>
  </sheetPr>
  <dimension ref="A1:F101"/>
  <sheetViews>
    <sheetView workbookViewId="0">
      <selection activeCell="A103" sqref="A103"/>
    </sheetView>
  </sheetViews>
  <sheetFormatPr defaultRowHeight="15" x14ac:dyDescent="0.35"/>
  <sheetData>
    <row r="1" spans="1:6" x14ac:dyDescent="0.35">
      <c r="A1" t="s">
        <v>1214</v>
      </c>
    </row>
    <row r="2" spans="1:6" x14ac:dyDescent="0.35">
      <c r="A2" t="s">
        <v>1215</v>
      </c>
    </row>
    <row r="3" spans="1:6" x14ac:dyDescent="0.35">
      <c r="A3" t="s">
        <v>1216</v>
      </c>
    </row>
    <row r="5" spans="1:6" x14ac:dyDescent="0.35">
      <c r="A5" t="s">
        <v>1217</v>
      </c>
    </row>
    <row r="6" spans="1:6" x14ac:dyDescent="0.35">
      <c r="A6" t="s">
        <v>1218</v>
      </c>
    </row>
    <row r="8" spans="1:6" s="57" customFormat="1" x14ac:dyDescent="0.35">
      <c r="A8" s="38"/>
      <c r="B8" s="38"/>
      <c r="C8" s="38"/>
      <c r="D8" s="38"/>
      <c r="E8" s="38"/>
      <c r="F8" s="38"/>
    </row>
    <row r="9" spans="1:6" x14ac:dyDescent="0.35">
      <c r="A9" t="s">
        <v>1219</v>
      </c>
      <c r="C9" s="33" t="s">
        <v>1220</v>
      </c>
    </row>
    <row r="10" spans="1:6" x14ac:dyDescent="0.35">
      <c r="A10" t="s">
        <v>1221</v>
      </c>
    </row>
    <row r="11" spans="1:6" x14ac:dyDescent="0.35">
      <c r="A11" t="s">
        <v>1222</v>
      </c>
    </row>
    <row r="12" spans="1:6" x14ac:dyDescent="0.35">
      <c r="A12" t="s">
        <v>1223</v>
      </c>
    </row>
    <row r="13" spans="1:6" x14ac:dyDescent="0.35">
      <c r="A13" t="s">
        <v>1224</v>
      </c>
    </row>
    <row r="14" spans="1:6" s="57" customFormat="1" x14ac:dyDescent="0.35">
      <c r="A14" s="38"/>
      <c r="B14" s="38"/>
      <c r="C14" s="38"/>
      <c r="D14" s="38"/>
      <c r="E14" s="38"/>
      <c r="F14" s="38"/>
    </row>
    <row r="15" spans="1:6" x14ac:dyDescent="0.35">
      <c r="A15" t="s">
        <v>1225</v>
      </c>
      <c r="D15" s="33" t="s">
        <v>1226</v>
      </c>
    </row>
    <row r="16" spans="1:6" x14ac:dyDescent="0.35">
      <c r="A16" t="s">
        <v>1227</v>
      </c>
    </row>
    <row r="17" spans="1:6" x14ac:dyDescent="0.35">
      <c r="A17" t="s">
        <v>1228</v>
      </c>
    </row>
    <row r="18" spans="1:6" x14ac:dyDescent="0.35">
      <c r="A18" t="s">
        <v>1223</v>
      </c>
    </row>
    <row r="19" spans="1:6" x14ac:dyDescent="0.35">
      <c r="A19" t="s">
        <v>1229</v>
      </c>
    </row>
    <row r="20" spans="1:6" s="57" customFormat="1" x14ac:dyDescent="0.35">
      <c r="A20" s="38"/>
      <c r="B20" s="38"/>
      <c r="C20" s="38"/>
      <c r="D20" s="38"/>
      <c r="E20" s="38"/>
      <c r="F20" s="38"/>
    </row>
    <row r="21" spans="1:6" s="95" customFormat="1" x14ac:dyDescent="0.35">
      <c r="A21" s="439" t="s">
        <v>1230</v>
      </c>
    </row>
    <row r="22" spans="1:6" s="95" customFormat="1" x14ac:dyDescent="0.35">
      <c r="A22" s="439" t="s">
        <v>1218</v>
      </c>
    </row>
    <row r="23" spans="1:6" s="95" customFormat="1" x14ac:dyDescent="0.35">
      <c r="A23" s="439" t="s">
        <v>1231</v>
      </c>
    </row>
    <row r="24" spans="1:6" s="95" customFormat="1" x14ac:dyDescent="0.35">
      <c r="A24" s="439" t="s">
        <v>1223</v>
      </c>
    </row>
    <row r="25" spans="1:6" s="95" customFormat="1" x14ac:dyDescent="0.35">
      <c r="A25" s="439" t="s">
        <v>1232</v>
      </c>
    </row>
    <row r="26" spans="1:6" s="57" customFormat="1" x14ac:dyDescent="0.35">
      <c r="A26" s="38"/>
      <c r="B26" s="38"/>
      <c r="C26" s="38"/>
      <c r="D26" s="38"/>
      <c r="E26" s="38"/>
      <c r="F26" s="38"/>
    </row>
    <row r="27" spans="1:6" s="95" customFormat="1" x14ac:dyDescent="0.35">
      <c r="A27" s="439" t="s">
        <v>1233</v>
      </c>
      <c r="D27" s="240"/>
    </row>
    <row r="28" spans="1:6" s="95" customFormat="1" x14ac:dyDescent="0.35">
      <c r="A28" s="439" t="s">
        <v>1234</v>
      </c>
    </row>
    <row r="29" spans="1:6" s="95" customFormat="1" x14ac:dyDescent="0.35">
      <c r="A29" s="439" t="s">
        <v>1235</v>
      </c>
    </row>
    <row r="30" spans="1:6" s="96" customFormat="1" x14ac:dyDescent="0.35">
      <c r="A30" s="96" t="s">
        <v>1236</v>
      </c>
    </row>
    <row r="31" spans="1:6" s="96" customFormat="1" x14ac:dyDescent="0.35">
      <c r="A31" s="96" t="s">
        <v>1237</v>
      </c>
    </row>
    <row r="32" spans="1:6" s="57" customFormat="1" x14ac:dyDescent="0.35">
      <c r="A32" s="38"/>
      <c r="B32" s="38"/>
      <c r="C32" s="38"/>
      <c r="D32" s="38"/>
      <c r="E32" s="38"/>
      <c r="F32" s="38"/>
    </row>
    <row r="33" spans="1:6" s="57" customFormat="1" x14ac:dyDescent="0.35">
      <c r="A33" s="57" t="s">
        <v>1238</v>
      </c>
    </row>
    <row r="34" spans="1:6" s="57" customFormat="1" x14ac:dyDescent="0.35">
      <c r="A34" s="57" t="s">
        <v>1239</v>
      </c>
      <c r="D34" s="240" t="s">
        <v>1240</v>
      </c>
    </row>
    <row r="35" spans="1:6" s="57" customFormat="1" x14ac:dyDescent="0.35">
      <c r="A35" s="57" t="s">
        <v>1218</v>
      </c>
    </row>
    <row r="36" spans="1:6" s="57" customFormat="1" x14ac:dyDescent="0.35">
      <c r="A36" s="57" t="s">
        <v>1241</v>
      </c>
    </row>
    <row r="37" spans="1:6" s="57" customFormat="1" x14ac:dyDescent="0.35">
      <c r="A37" s="57" t="s">
        <v>1242</v>
      </c>
    </row>
    <row r="38" spans="1:6" s="57" customFormat="1" x14ac:dyDescent="0.35">
      <c r="A38" s="57" t="s">
        <v>1243</v>
      </c>
    </row>
    <row r="39" spans="1:6" s="57" customFormat="1" x14ac:dyDescent="0.35">
      <c r="A39" s="38"/>
      <c r="B39" s="38"/>
      <c r="C39" s="38"/>
      <c r="D39" s="38"/>
      <c r="E39" s="38"/>
      <c r="F39" s="38"/>
    </row>
    <row r="40" spans="1:6" s="57" customFormat="1" x14ac:dyDescent="0.35"/>
    <row r="41" spans="1:6" x14ac:dyDescent="0.35">
      <c r="A41" t="s">
        <v>1244</v>
      </c>
    </row>
    <row r="42" spans="1:6" x14ac:dyDescent="0.35">
      <c r="A42" t="s">
        <v>1245</v>
      </c>
    </row>
    <row r="43" spans="1:6" x14ac:dyDescent="0.35">
      <c r="A43" t="s">
        <v>1246</v>
      </c>
    </row>
    <row r="45" spans="1:6" x14ac:dyDescent="0.35">
      <c r="A45" t="s">
        <v>1247</v>
      </c>
    </row>
    <row r="46" spans="1:6" x14ac:dyDescent="0.35">
      <c r="A46" t="s">
        <v>1248</v>
      </c>
    </row>
    <row r="47" spans="1:6" x14ac:dyDescent="0.35">
      <c r="A47" t="s">
        <v>1249</v>
      </c>
    </row>
    <row r="49" spans="1:6" x14ac:dyDescent="0.35">
      <c r="A49" t="s">
        <v>1250</v>
      </c>
    </row>
    <row r="50" spans="1:6" x14ac:dyDescent="0.35">
      <c r="A50" t="s">
        <v>1251</v>
      </c>
    </row>
    <row r="52" spans="1:6" s="57" customFormat="1" x14ac:dyDescent="0.35">
      <c r="A52" s="38"/>
      <c r="B52" s="38"/>
      <c r="C52" s="38"/>
      <c r="D52" s="38"/>
      <c r="E52" s="38"/>
      <c r="F52" s="38"/>
    </row>
    <row r="53" spans="1:6" x14ac:dyDescent="0.35">
      <c r="A53" t="s">
        <v>1252</v>
      </c>
    </row>
    <row r="54" spans="1:6" x14ac:dyDescent="0.35">
      <c r="A54" t="s">
        <v>1253</v>
      </c>
    </row>
    <row r="55" spans="1:6" x14ac:dyDescent="0.35">
      <c r="A55" s="38"/>
      <c r="B55" s="38"/>
      <c r="C55" s="38"/>
      <c r="D55" s="38"/>
      <c r="E55" s="38"/>
      <c r="F55" s="38"/>
    </row>
    <row r="56" spans="1:6" x14ac:dyDescent="0.35">
      <c r="A56" t="s">
        <v>1254</v>
      </c>
    </row>
    <row r="57" spans="1:6" x14ac:dyDescent="0.35">
      <c r="A57" t="s">
        <v>1255</v>
      </c>
    </row>
    <row r="58" spans="1:6" x14ac:dyDescent="0.35">
      <c r="A58" t="s">
        <v>1256</v>
      </c>
    </row>
    <row r="59" spans="1:6" x14ac:dyDescent="0.35">
      <c r="A59" t="s">
        <v>1257</v>
      </c>
    </row>
    <row r="60" spans="1:6" x14ac:dyDescent="0.35">
      <c r="A60" t="s">
        <v>1258</v>
      </c>
    </row>
    <row r="61" spans="1:6" x14ac:dyDescent="0.35">
      <c r="A61" s="38"/>
      <c r="B61" s="38"/>
      <c r="C61" s="38"/>
      <c r="D61" s="38"/>
      <c r="E61" s="38"/>
      <c r="F61" s="38"/>
    </row>
    <row r="63" spans="1:6" x14ac:dyDescent="0.35">
      <c r="A63" t="s">
        <v>1259</v>
      </c>
      <c r="E63" s="33" t="s">
        <v>1260</v>
      </c>
    </row>
    <row r="64" spans="1:6" x14ac:dyDescent="0.35">
      <c r="A64" t="s">
        <v>1261</v>
      </c>
    </row>
    <row r="65" spans="1:6" x14ac:dyDescent="0.35">
      <c r="A65" t="s">
        <v>1262</v>
      </c>
    </row>
    <row r="66" spans="1:6" s="57" customFormat="1" x14ac:dyDescent="0.35">
      <c r="A66" s="38"/>
      <c r="B66" s="38"/>
      <c r="C66" s="38"/>
      <c r="D66" s="38"/>
      <c r="E66" s="38"/>
      <c r="F66" s="38"/>
    </row>
    <row r="67" spans="1:6" x14ac:dyDescent="0.35">
      <c r="A67" t="s">
        <v>1263</v>
      </c>
    </row>
    <row r="68" spans="1:6" x14ac:dyDescent="0.35">
      <c r="A68" t="s">
        <v>1261</v>
      </c>
    </row>
    <row r="69" spans="1:6" x14ac:dyDescent="0.35">
      <c r="A69" t="s">
        <v>1262</v>
      </c>
    </row>
    <row r="70" spans="1:6" s="57" customFormat="1" x14ac:dyDescent="0.35">
      <c r="A70" s="38"/>
      <c r="B70" s="38"/>
      <c r="C70" s="38"/>
      <c r="D70" s="38"/>
      <c r="E70" s="38"/>
      <c r="F70" s="38"/>
    </row>
    <row r="71" spans="1:6" x14ac:dyDescent="0.35">
      <c r="A71" t="s">
        <v>1264</v>
      </c>
    </row>
    <row r="72" spans="1:6" x14ac:dyDescent="0.35">
      <c r="A72" t="s">
        <v>1265</v>
      </c>
    </row>
    <row r="74" spans="1:6" x14ac:dyDescent="0.35">
      <c r="A74" s="38"/>
      <c r="B74" s="38"/>
      <c r="C74" s="38"/>
      <c r="D74" s="38"/>
      <c r="E74" s="38"/>
      <c r="F74" s="38"/>
    </row>
    <row r="75" spans="1:6" x14ac:dyDescent="0.35">
      <c r="A75" t="s">
        <v>1266</v>
      </c>
    </row>
    <row r="76" spans="1:6" x14ac:dyDescent="0.35">
      <c r="A76" t="s">
        <v>1267</v>
      </c>
    </row>
    <row r="77" spans="1:6" x14ac:dyDescent="0.35">
      <c r="A77" t="s">
        <v>1262</v>
      </c>
    </row>
    <row r="78" spans="1:6" x14ac:dyDescent="0.35">
      <c r="A78" s="38"/>
      <c r="B78" s="38"/>
      <c r="C78" s="38"/>
      <c r="D78" s="38"/>
      <c r="E78" s="38"/>
      <c r="F78" s="38"/>
    </row>
    <row r="79" spans="1:6" x14ac:dyDescent="0.35">
      <c r="A79" t="s">
        <v>1268</v>
      </c>
    </row>
    <row r="80" spans="1:6" x14ac:dyDescent="0.35">
      <c r="A80" s="327" t="s">
        <v>1269</v>
      </c>
    </row>
    <row r="81" spans="1:6" x14ac:dyDescent="0.35">
      <c r="A81" t="s">
        <v>1270</v>
      </c>
    </row>
    <row r="82" spans="1:6" x14ac:dyDescent="0.35">
      <c r="A82" s="38"/>
      <c r="B82" s="38"/>
      <c r="C82" s="38"/>
      <c r="D82" s="38"/>
      <c r="E82" s="38"/>
      <c r="F82" s="38"/>
    </row>
    <row r="83" spans="1:6" s="57" customFormat="1" x14ac:dyDescent="0.35">
      <c r="A83" s="57" t="s">
        <v>1271</v>
      </c>
    </row>
    <row r="84" spans="1:6" x14ac:dyDescent="0.35">
      <c r="A84" t="s">
        <v>1272</v>
      </c>
    </row>
    <row r="85" spans="1:6" x14ac:dyDescent="0.35">
      <c r="A85" t="s">
        <v>1261</v>
      </c>
    </row>
    <row r="86" spans="1:6" x14ac:dyDescent="0.35">
      <c r="A86" t="s">
        <v>1273</v>
      </c>
    </row>
    <row r="88" spans="1:6" x14ac:dyDescent="0.35">
      <c r="A88" t="s">
        <v>1274</v>
      </c>
    </row>
    <row r="89" spans="1:6" x14ac:dyDescent="0.35">
      <c r="A89" t="s">
        <v>1275</v>
      </c>
    </row>
    <row r="90" spans="1:6" x14ac:dyDescent="0.35">
      <c r="A90" t="s">
        <v>1276</v>
      </c>
    </row>
    <row r="91" spans="1:6" x14ac:dyDescent="0.35">
      <c r="A91" t="s">
        <v>1277</v>
      </c>
    </row>
    <row r="93" spans="1:6" x14ac:dyDescent="0.35">
      <c r="A93" t="s">
        <v>1278</v>
      </c>
    </row>
    <row r="94" spans="1:6" x14ac:dyDescent="0.35">
      <c r="A94" t="s">
        <v>1279</v>
      </c>
    </row>
    <row r="95" spans="1:6" x14ac:dyDescent="0.35">
      <c r="A95" t="s">
        <v>1280</v>
      </c>
    </row>
    <row r="96" spans="1:6" x14ac:dyDescent="0.35">
      <c r="A96" t="s">
        <v>1281</v>
      </c>
    </row>
    <row r="98" spans="1:1" x14ac:dyDescent="0.35">
      <c r="A98" s="12" t="s">
        <v>1282</v>
      </c>
    </row>
    <row r="99" spans="1:1" x14ac:dyDescent="0.35">
      <c r="A99" s="12" t="s">
        <v>1283</v>
      </c>
    </row>
    <row r="100" spans="1:1" x14ac:dyDescent="0.35">
      <c r="A100" s="12" t="s">
        <v>1284</v>
      </c>
    </row>
    <row r="101" spans="1:1" x14ac:dyDescent="0.35">
      <c r="A101" s="12" t="s">
        <v>1285</v>
      </c>
    </row>
  </sheetData>
  <hyperlinks>
    <hyperlink ref="A80" r:id="rId1" display="t.i@avavncoconstrucoes.com.br" xr:uid="{950A4850-B57A-401A-9CCF-D4546DDC0823}"/>
  </hyperlink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3FE0-3721-4979-BB43-5312A4E549F4}">
  <sheetPr>
    <tabColor rgb="FF00B050"/>
  </sheetPr>
  <dimension ref="A1:P22"/>
  <sheetViews>
    <sheetView topLeftCell="J1" zoomScale="90" zoomScaleNormal="90" workbookViewId="0">
      <selection activeCell="D24" sqref="D24"/>
    </sheetView>
  </sheetViews>
  <sheetFormatPr defaultRowHeight="15" x14ac:dyDescent="0.35"/>
  <cols>
    <col min="1" max="1" width="23.6328125" customWidth="1"/>
    <col min="2" max="2" width="18.90625" customWidth="1"/>
    <col min="4" max="4" width="18.81640625" customWidth="1"/>
    <col min="5" max="5" width="14.81640625" customWidth="1"/>
    <col min="6" max="6" width="22.6328125" customWidth="1"/>
    <col min="7" max="7" width="13.453125" bestFit="1" customWidth="1"/>
    <col min="10" max="10" width="32.1796875" customWidth="1"/>
    <col min="14" max="14" width="21.453125" customWidth="1"/>
    <col min="16" max="16" width="15.54296875" customWidth="1"/>
  </cols>
  <sheetData>
    <row r="1" spans="1:16" ht="64.8" x14ac:dyDescent="0.35">
      <c r="A1" s="356" t="s">
        <v>1339</v>
      </c>
      <c r="B1" s="356" t="s">
        <v>1340</v>
      </c>
      <c r="C1" s="356" t="s">
        <v>1341</v>
      </c>
      <c r="D1" s="356" t="s">
        <v>1342</v>
      </c>
      <c r="E1" s="356" t="s">
        <v>1343</v>
      </c>
      <c r="F1" s="356" t="s">
        <v>1344</v>
      </c>
      <c r="G1" s="356" t="s">
        <v>1345</v>
      </c>
      <c r="H1" s="356" t="s">
        <v>1346</v>
      </c>
      <c r="I1" s="356" t="s">
        <v>1347</v>
      </c>
      <c r="J1" s="356" t="s">
        <v>1348</v>
      </c>
      <c r="K1" s="356" t="s">
        <v>1349</v>
      </c>
      <c r="L1" s="356" t="s">
        <v>1350</v>
      </c>
      <c r="M1" s="356" t="s">
        <v>1351</v>
      </c>
      <c r="N1" s="357"/>
      <c r="O1" s="357" t="s">
        <v>1352</v>
      </c>
      <c r="P1" s="356" t="s">
        <v>1353</v>
      </c>
    </row>
    <row r="2" spans="1:16" x14ac:dyDescent="0.35">
      <c r="A2" s="359" t="s">
        <v>1354</v>
      </c>
      <c r="B2" s="358" t="s">
        <v>1355</v>
      </c>
      <c r="C2" s="358" t="s">
        <v>1356</v>
      </c>
      <c r="D2" s="358" t="s">
        <v>1357</v>
      </c>
      <c r="E2" s="364">
        <v>45849</v>
      </c>
      <c r="F2" s="364">
        <v>28632</v>
      </c>
      <c r="G2" s="358" t="s">
        <v>1358</v>
      </c>
      <c r="H2" s="358">
        <v>99561490</v>
      </c>
      <c r="I2" s="358" t="s">
        <v>1359</v>
      </c>
      <c r="J2" s="363" t="s">
        <v>1360</v>
      </c>
      <c r="K2" s="358"/>
      <c r="L2" s="358"/>
      <c r="M2" s="360">
        <v>137</v>
      </c>
      <c r="N2" s="364">
        <v>46006</v>
      </c>
      <c r="O2" s="358">
        <v>157</v>
      </c>
      <c r="P2" s="358" t="s">
        <v>1361</v>
      </c>
    </row>
    <row r="3" spans="1:16" x14ac:dyDescent="0.35">
      <c r="A3" s="359" t="s">
        <v>1362</v>
      </c>
      <c r="B3" s="358" t="s">
        <v>442</v>
      </c>
      <c r="C3" s="358" t="s">
        <v>1356</v>
      </c>
      <c r="D3" s="358" t="s">
        <v>1357</v>
      </c>
      <c r="E3" s="364">
        <v>45849</v>
      </c>
      <c r="F3" s="364">
        <v>31727</v>
      </c>
      <c r="G3" s="358" t="s">
        <v>1363</v>
      </c>
      <c r="H3" s="358">
        <v>200800480</v>
      </c>
      <c r="I3" s="358" t="s">
        <v>1364</v>
      </c>
      <c r="J3" s="365" t="s">
        <v>1365</v>
      </c>
      <c r="K3" s="358"/>
      <c r="L3" s="358"/>
      <c r="M3" s="360">
        <v>137</v>
      </c>
      <c r="N3" s="364">
        <v>46006</v>
      </c>
      <c r="O3" s="358">
        <v>157</v>
      </c>
      <c r="P3" s="358" t="s">
        <v>1366</v>
      </c>
    </row>
    <row r="4" spans="1:16" x14ac:dyDescent="0.35">
      <c r="A4" s="369" t="s">
        <v>1367</v>
      </c>
      <c r="B4" s="358" t="s">
        <v>1368</v>
      </c>
      <c r="C4" s="358" t="s">
        <v>1369</v>
      </c>
      <c r="D4" s="358" t="s">
        <v>1357</v>
      </c>
      <c r="E4" s="364">
        <v>45932</v>
      </c>
      <c r="F4" s="364">
        <v>32996</v>
      </c>
      <c r="G4" s="358" t="s">
        <v>1370</v>
      </c>
      <c r="H4" s="358">
        <v>222165565</v>
      </c>
      <c r="I4" s="358" t="s">
        <v>1359</v>
      </c>
      <c r="J4" s="366" t="s">
        <v>1371</v>
      </c>
      <c r="K4" s="358" t="s">
        <v>1372</v>
      </c>
      <c r="L4" s="358"/>
      <c r="M4" s="360">
        <v>54</v>
      </c>
      <c r="N4" s="364">
        <v>46006</v>
      </c>
      <c r="O4" s="358">
        <v>74</v>
      </c>
      <c r="P4" s="358" t="s">
        <v>1373</v>
      </c>
    </row>
    <row r="5" spans="1:16" x14ac:dyDescent="0.35">
      <c r="A5" s="359" t="s">
        <v>1374</v>
      </c>
      <c r="B5" s="358" t="s">
        <v>1368</v>
      </c>
      <c r="C5" s="358" t="s">
        <v>1356</v>
      </c>
      <c r="D5" s="358" t="s">
        <v>1357</v>
      </c>
      <c r="E5" s="364">
        <v>45846</v>
      </c>
      <c r="F5" s="364">
        <v>32515</v>
      </c>
      <c r="G5" s="358" t="s">
        <v>1375</v>
      </c>
      <c r="H5" s="358">
        <v>12557945</v>
      </c>
      <c r="I5" s="358" t="s">
        <v>1359</v>
      </c>
      <c r="J5" s="363" t="s">
        <v>1376</v>
      </c>
      <c r="K5" s="358"/>
      <c r="L5" s="358"/>
      <c r="M5" s="360">
        <v>140</v>
      </c>
      <c r="N5" s="364">
        <v>46006</v>
      </c>
      <c r="O5" s="358">
        <v>160</v>
      </c>
      <c r="P5" s="358" t="s">
        <v>1377</v>
      </c>
    </row>
    <row r="6" spans="1:16" x14ac:dyDescent="0.35">
      <c r="A6" s="369" t="s">
        <v>1378</v>
      </c>
      <c r="B6" s="358" t="s">
        <v>791</v>
      </c>
      <c r="C6" s="358" t="s">
        <v>1379</v>
      </c>
      <c r="D6" s="358" t="s">
        <v>1357</v>
      </c>
      <c r="E6" s="359"/>
      <c r="F6" s="358"/>
      <c r="G6" s="358"/>
      <c r="H6" s="358"/>
      <c r="I6" s="358"/>
      <c r="J6" s="359"/>
      <c r="K6" s="359"/>
      <c r="L6" s="359"/>
      <c r="M6" s="358"/>
      <c r="N6" s="359"/>
      <c r="O6" s="358"/>
      <c r="P6" s="358" t="s">
        <v>1380</v>
      </c>
    </row>
    <row r="7" spans="1:16" x14ac:dyDescent="0.35">
      <c r="A7" s="369" t="s">
        <v>1381</v>
      </c>
      <c r="B7" s="358" t="s">
        <v>1382</v>
      </c>
      <c r="C7" s="358" t="s">
        <v>1356</v>
      </c>
      <c r="D7" s="358" t="s">
        <v>1357</v>
      </c>
      <c r="E7" s="361"/>
      <c r="F7" s="358"/>
      <c r="G7" s="358"/>
      <c r="H7" s="358"/>
      <c r="I7" s="358"/>
      <c r="J7" s="359"/>
      <c r="K7" s="359"/>
      <c r="L7" s="359"/>
      <c r="M7" s="358"/>
      <c r="N7" s="359"/>
      <c r="O7" s="358"/>
      <c r="P7" s="358" t="s">
        <v>1383</v>
      </c>
    </row>
    <row r="8" spans="1:16" x14ac:dyDescent="0.35">
      <c r="A8" s="359" t="s">
        <v>1384</v>
      </c>
      <c r="B8" s="358" t="s">
        <v>1385</v>
      </c>
      <c r="C8" s="358" t="s">
        <v>1379</v>
      </c>
      <c r="D8" s="358" t="s">
        <v>1357</v>
      </c>
      <c r="E8" s="364">
        <v>45818</v>
      </c>
      <c r="F8" s="364">
        <v>31965</v>
      </c>
      <c r="G8" s="358" t="s">
        <v>1386</v>
      </c>
      <c r="H8" s="358">
        <v>12498617</v>
      </c>
      <c r="I8" s="358" t="s">
        <v>1359</v>
      </c>
      <c r="J8" s="363" t="s">
        <v>1387</v>
      </c>
      <c r="K8" s="358"/>
      <c r="L8" s="358"/>
      <c r="M8" s="360">
        <v>168</v>
      </c>
      <c r="N8" s="364">
        <v>46006</v>
      </c>
      <c r="O8" s="358">
        <v>188</v>
      </c>
      <c r="P8" s="358" t="s">
        <v>1388</v>
      </c>
    </row>
    <row r="9" spans="1:16" x14ac:dyDescent="0.35">
      <c r="A9" s="359" t="s">
        <v>1389</v>
      </c>
      <c r="B9" s="358" t="s">
        <v>1390</v>
      </c>
      <c r="C9" s="358" t="s">
        <v>1379</v>
      </c>
      <c r="D9" s="358" t="s">
        <v>1357</v>
      </c>
      <c r="E9" s="364">
        <v>45821</v>
      </c>
      <c r="F9" s="364">
        <v>33252</v>
      </c>
      <c r="G9" s="358" t="s">
        <v>1391</v>
      </c>
      <c r="H9" s="358">
        <v>15386429</v>
      </c>
      <c r="I9" s="358"/>
      <c r="J9" s="363" t="s">
        <v>1392</v>
      </c>
      <c r="K9" s="358"/>
      <c r="L9" s="358"/>
      <c r="M9" s="360">
        <v>165</v>
      </c>
      <c r="N9" s="364">
        <v>46006</v>
      </c>
      <c r="O9" s="358">
        <v>185</v>
      </c>
      <c r="P9" s="358" t="s">
        <v>1393</v>
      </c>
    </row>
    <row r="10" spans="1:16" x14ac:dyDescent="0.35">
      <c r="A10" s="359" t="s">
        <v>369</v>
      </c>
      <c r="B10" s="358" t="s">
        <v>1394</v>
      </c>
      <c r="C10" s="358" t="s">
        <v>1379</v>
      </c>
      <c r="D10" s="358" t="s">
        <v>1357</v>
      </c>
      <c r="E10" s="364"/>
      <c r="F10" s="364"/>
      <c r="G10" s="358"/>
      <c r="H10" s="358"/>
      <c r="I10" s="358"/>
      <c r="J10" s="363"/>
      <c r="K10" s="358"/>
      <c r="L10" s="358"/>
      <c r="M10" s="360"/>
      <c r="N10" s="364"/>
      <c r="O10" s="358"/>
      <c r="P10" s="358" t="s">
        <v>1395</v>
      </c>
    </row>
    <row r="11" spans="1:16" x14ac:dyDescent="0.35">
      <c r="A11" s="359" t="s">
        <v>1396</v>
      </c>
      <c r="B11" s="358" t="s">
        <v>1368</v>
      </c>
      <c r="C11" s="358" t="s">
        <v>1356</v>
      </c>
      <c r="D11" s="358" t="s">
        <v>1357</v>
      </c>
      <c r="E11" s="364">
        <v>45889</v>
      </c>
      <c r="F11" s="364">
        <v>36276</v>
      </c>
      <c r="G11" s="358" t="s">
        <v>1397</v>
      </c>
      <c r="H11" s="358">
        <v>20203591</v>
      </c>
      <c r="I11" s="358"/>
      <c r="J11" s="365" t="s">
        <v>1398</v>
      </c>
      <c r="K11" s="358"/>
      <c r="L11" s="358"/>
      <c r="M11" s="360">
        <v>97</v>
      </c>
      <c r="N11" s="364">
        <v>46006</v>
      </c>
      <c r="O11" s="358">
        <v>117</v>
      </c>
      <c r="P11" s="358" t="s">
        <v>1399</v>
      </c>
    </row>
    <row r="12" spans="1:16" x14ac:dyDescent="0.35">
      <c r="A12" s="359" t="s">
        <v>1400</v>
      </c>
      <c r="B12" s="358" t="s">
        <v>1355</v>
      </c>
      <c r="C12" s="358" t="s">
        <v>1356</v>
      </c>
      <c r="D12" s="358" t="s">
        <v>1357</v>
      </c>
      <c r="E12" s="364">
        <v>45846</v>
      </c>
      <c r="F12" s="364">
        <v>33090</v>
      </c>
      <c r="G12" s="358" t="s">
        <v>1401</v>
      </c>
      <c r="H12" s="358">
        <v>228604575</v>
      </c>
      <c r="I12" s="358" t="s">
        <v>1359</v>
      </c>
      <c r="J12" s="365" t="s">
        <v>1402</v>
      </c>
      <c r="K12" s="358"/>
      <c r="L12" s="358"/>
      <c r="M12" s="360">
        <v>140</v>
      </c>
      <c r="N12" s="364">
        <v>46006</v>
      </c>
      <c r="O12" s="358">
        <v>160</v>
      </c>
      <c r="P12" s="358" t="s">
        <v>1403</v>
      </c>
    </row>
    <row r="13" spans="1:16" x14ac:dyDescent="0.35">
      <c r="A13" s="359" t="s">
        <v>1404</v>
      </c>
      <c r="B13" s="358" t="s">
        <v>1405</v>
      </c>
      <c r="C13" s="358" t="s">
        <v>1369</v>
      </c>
      <c r="D13" s="358" t="s">
        <v>1357</v>
      </c>
      <c r="E13" s="364">
        <v>45826</v>
      </c>
      <c r="F13" s="364">
        <v>35513</v>
      </c>
      <c r="G13" s="358" t="s">
        <v>1406</v>
      </c>
      <c r="H13" s="358">
        <v>293854188</v>
      </c>
      <c r="I13" s="358"/>
      <c r="J13" s="365" t="s">
        <v>1407</v>
      </c>
      <c r="K13" s="358"/>
      <c r="L13" s="358"/>
      <c r="M13" s="360">
        <v>160</v>
      </c>
      <c r="N13" s="364">
        <v>46006</v>
      </c>
      <c r="O13" s="358">
        <v>180</v>
      </c>
      <c r="P13" s="358" t="s">
        <v>1408</v>
      </c>
    </row>
    <row r="14" spans="1:16" x14ac:dyDescent="0.35">
      <c r="A14" s="359" t="s">
        <v>1409</v>
      </c>
      <c r="B14" s="358" t="s">
        <v>1410</v>
      </c>
      <c r="C14" s="358" t="s">
        <v>1369</v>
      </c>
      <c r="D14" s="358" t="s">
        <v>1357</v>
      </c>
      <c r="E14" s="364">
        <v>45866</v>
      </c>
      <c r="F14" s="364">
        <v>32288</v>
      </c>
      <c r="G14" s="358" t="s">
        <v>1411</v>
      </c>
      <c r="H14" s="358">
        <v>15169727</v>
      </c>
      <c r="I14" s="358" t="s">
        <v>1359</v>
      </c>
      <c r="J14" s="363" t="s">
        <v>1412</v>
      </c>
      <c r="K14" s="358"/>
      <c r="L14" s="358"/>
      <c r="M14" s="360">
        <v>120</v>
      </c>
      <c r="N14" s="364">
        <v>46006</v>
      </c>
      <c r="O14" s="358">
        <v>140</v>
      </c>
      <c r="P14" s="358" t="s">
        <v>1413</v>
      </c>
    </row>
    <row r="15" spans="1:16" x14ac:dyDescent="0.35">
      <c r="A15" s="369" t="s">
        <v>1414</v>
      </c>
      <c r="B15" s="358" t="s">
        <v>1415</v>
      </c>
      <c r="C15" s="358" t="s">
        <v>1379</v>
      </c>
      <c r="D15" s="358" t="s">
        <v>1357</v>
      </c>
      <c r="E15" s="364">
        <v>45926</v>
      </c>
      <c r="F15" s="364">
        <v>29125</v>
      </c>
      <c r="G15" s="358" t="s">
        <v>1416</v>
      </c>
      <c r="H15" s="358">
        <v>6864149</v>
      </c>
      <c r="I15" s="358" t="s">
        <v>1359</v>
      </c>
      <c r="J15" s="366" t="s">
        <v>1417</v>
      </c>
      <c r="K15" s="358" t="s">
        <v>1418</v>
      </c>
      <c r="L15" s="358"/>
      <c r="M15" s="360">
        <v>60</v>
      </c>
      <c r="N15" s="364">
        <v>46006</v>
      </c>
      <c r="O15" s="358">
        <v>80</v>
      </c>
      <c r="P15" s="358" t="s">
        <v>1419</v>
      </c>
    </row>
    <row r="16" spans="1:16" x14ac:dyDescent="0.35">
      <c r="A16" s="369" t="s">
        <v>383</v>
      </c>
      <c r="B16" s="358" t="s">
        <v>1382</v>
      </c>
      <c r="C16" s="358" t="s">
        <v>1369</v>
      </c>
      <c r="D16" s="358" t="s">
        <v>1357</v>
      </c>
      <c r="E16" s="359"/>
      <c r="F16" s="358"/>
      <c r="G16" s="358"/>
      <c r="H16" s="358"/>
      <c r="I16" s="358"/>
      <c r="J16" s="359"/>
      <c r="K16" s="359"/>
      <c r="L16" s="359"/>
      <c r="M16" s="358"/>
      <c r="N16" s="359"/>
      <c r="O16" s="358"/>
      <c r="P16" s="358" t="s">
        <v>1420</v>
      </c>
    </row>
    <row r="17" spans="1:16" x14ac:dyDescent="0.35">
      <c r="A17" s="370" t="s">
        <v>1421</v>
      </c>
      <c r="B17" s="358" t="s">
        <v>1368</v>
      </c>
      <c r="C17" s="358" t="s">
        <v>1356</v>
      </c>
      <c r="D17" s="358" t="s">
        <v>1422</v>
      </c>
      <c r="E17" s="364">
        <v>45901</v>
      </c>
      <c r="F17" s="364">
        <v>32325</v>
      </c>
      <c r="G17" s="358" t="s">
        <v>1423</v>
      </c>
      <c r="H17" s="358" t="s">
        <v>1423</v>
      </c>
      <c r="I17" s="358"/>
      <c r="J17" s="368" t="s">
        <v>1424</v>
      </c>
      <c r="K17" s="362"/>
      <c r="L17" s="362"/>
      <c r="M17" s="360">
        <v>85</v>
      </c>
      <c r="N17" s="364">
        <v>46006</v>
      </c>
      <c r="O17" s="358">
        <v>105</v>
      </c>
      <c r="P17" s="358" t="s">
        <v>1425</v>
      </c>
    </row>
    <row r="18" spans="1:16" x14ac:dyDescent="0.35">
      <c r="A18" s="369" t="s">
        <v>1426</v>
      </c>
      <c r="B18" s="358" t="s">
        <v>1368</v>
      </c>
      <c r="C18" s="358" t="s">
        <v>1369</v>
      </c>
      <c r="D18" s="358" t="s">
        <v>1357</v>
      </c>
      <c r="E18" s="364">
        <v>45939</v>
      </c>
      <c r="F18" s="364">
        <v>32962</v>
      </c>
      <c r="G18" s="358" t="s">
        <v>1427</v>
      </c>
      <c r="H18" s="358">
        <v>127761948</v>
      </c>
      <c r="I18" s="358" t="s">
        <v>1359</v>
      </c>
      <c r="J18" s="366" t="s">
        <v>1428</v>
      </c>
      <c r="K18" s="358" t="s">
        <v>1429</v>
      </c>
      <c r="L18" s="358"/>
      <c r="M18" s="360">
        <v>47</v>
      </c>
      <c r="N18" s="364">
        <v>46006</v>
      </c>
      <c r="O18" s="358">
        <v>67</v>
      </c>
      <c r="P18" s="358" t="s">
        <v>1430</v>
      </c>
    </row>
    <row r="19" spans="1:16" x14ac:dyDescent="0.35">
      <c r="A19" s="370" t="s">
        <v>1431</v>
      </c>
      <c r="B19" s="358" t="s">
        <v>442</v>
      </c>
      <c r="C19" s="358" t="s">
        <v>1356</v>
      </c>
      <c r="D19" s="358" t="s">
        <v>1422</v>
      </c>
      <c r="E19" s="364">
        <v>45901</v>
      </c>
      <c r="F19" s="364">
        <v>31566</v>
      </c>
      <c r="G19" s="358" t="s">
        <v>1432</v>
      </c>
      <c r="H19" s="358">
        <v>10873972</v>
      </c>
      <c r="I19" s="358" t="s">
        <v>1433</v>
      </c>
      <c r="J19" s="367" t="s">
        <v>1434</v>
      </c>
      <c r="K19" s="362"/>
      <c r="L19" s="362"/>
      <c r="M19" s="360">
        <v>85</v>
      </c>
      <c r="N19" s="364">
        <v>46006</v>
      </c>
      <c r="O19" s="358">
        <v>105</v>
      </c>
      <c r="P19" s="358" t="s">
        <v>1435</v>
      </c>
    </row>
    <row r="20" spans="1:16" x14ac:dyDescent="0.35">
      <c r="A20" s="359" t="s">
        <v>1436</v>
      </c>
      <c r="B20" s="358" t="s">
        <v>430</v>
      </c>
      <c r="C20" s="358" t="s">
        <v>1379</v>
      </c>
      <c r="D20" s="358" t="s">
        <v>1357</v>
      </c>
      <c r="E20" s="364">
        <v>45825</v>
      </c>
      <c r="F20" s="364">
        <v>36742</v>
      </c>
      <c r="G20" s="358" t="s">
        <v>1437</v>
      </c>
      <c r="H20" s="358">
        <v>22287870</v>
      </c>
      <c r="I20" s="358"/>
      <c r="J20" s="363" t="s">
        <v>1438</v>
      </c>
      <c r="K20" s="358"/>
      <c r="L20" s="358"/>
      <c r="M20" s="360">
        <v>161</v>
      </c>
      <c r="N20" s="364">
        <v>46006</v>
      </c>
      <c r="O20" s="358">
        <v>181</v>
      </c>
      <c r="P20" s="358" t="s">
        <v>1439</v>
      </c>
    </row>
    <row r="21" spans="1:16" x14ac:dyDescent="0.35">
      <c r="A21" s="359" t="s">
        <v>1440</v>
      </c>
      <c r="B21" s="358" t="s">
        <v>442</v>
      </c>
      <c r="C21" s="358" t="s">
        <v>1356</v>
      </c>
      <c r="D21" s="358" t="s">
        <v>1357</v>
      </c>
      <c r="E21" s="364">
        <v>45818</v>
      </c>
      <c r="F21" s="364">
        <v>27225</v>
      </c>
      <c r="G21" s="358" t="s">
        <v>1441</v>
      </c>
      <c r="H21" s="358">
        <v>4772323</v>
      </c>
      <c r="I21" s="358" t="s">
        <v>1364</v>
      </c>
      <c r="J21" s="363" t="s">
        <v>1442</v>
      </c>
      <c r="K21" s="358"/>
      <c r="L21" s="358"/>
      <c r="M21" s="360">
        <v>168</v>
      </c>
      <c r="N21" s="364">
        <v>46006</v>
      </c>
      <c r="O21" s="358">
        <v>188</v>
      </c>
      <c r="P21" s="358" t="s">
        <v>1443</v>
      </c>
    </row>
    <row r="22" spans="1:16" x14ac:dyDescent="0.35">
      <c r="A22" s="359" t="s">
        <v>1444</v>
      </c>
      <c r="B22" s="358" t="s">
        <v>442</v>
      </c>
      <c r="C22" s="358" t="s">
        <v>1369</v>
      </c>
      <c r="D22" s="358" t="s">
        <v>1357</v>
      </c>
      <c r="E22" s="364">
        <v>45826</v>
      </c>
      <c r="F22" s="364">
        <v>31349</v>
      </c>
      <c r="G22" s="358" t="s">
        <v>1445</v>
      </c>
      <c r="H22" s="358">
        <v>856357588</v>
      </c>
      <c r="I22" s="358" t="s">
        <v>1359</v>
      </c>
      <c r="J22" s="365" t="s">
        <v>1446</v>
      </c>
      <c r="K22" s="358"/>
      <c r="L22" s="358"/>
      <c r="M22" s="360">
        <v>160</v>
      </c>
      <c r="N22" s="364">
        <v>46006</v>
      </c>
      <c r="O22" s="358">
        <v>180</v>
      </c>
      <c r="P22" s="358" t="s">
        <v>1447</v>
      </c>
    </row>
  </sheetData>
  <hyperlinks>
    <hyperlink ref="J18" r:id="rId1" xr:uid="{CA1B2592-B227-4EEB-BED2-E99160AC271D}"/>
    <hyperlink ref="J15" r:id="rId2" xr:uid="{CDA448CA-1DBF-4165-9928-3E202EE6F7B4}"/>
    <hyperlink ref="J4" r:id="rId3" xr:uid="{3656525C-6EE0-415B-925A-708F7E7E4A31}"/>
  </hyperlink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84CA-36CF-48D6-B203-4C2F800E9258}">
  <sheetPr>
    <tabColor rgb="FF92D050"/>
  </sheetPr>
  <dimension ref="A2:N65"/>
  <sheetViews>
    <sheetView topLeftCell="B1" workbookViewId="0">
      <selection activeCell="J21" sqref="J21"/>
    </sheetView>
  </sheetViews>
  <sheetFormatPr defaultRowHeight="15" x14ac:dyDescent="0.35"/>
  <cols>
    <col min="3" max="3" width="17.453125" style="2" customWidth="1"/>
    <col min="4" max="4" width="17.6328125" style="2" customWidth="1"/>
    <col min="5" max="5" width="13.08984375" style="2" customWidth="1"/>
    <col min="6" max="6" width="8.90625" style="2"/>
    <col min="7" max="7" width="17.08984375" style="2" customWidth="1"/>
    <col min="8" max="8" width="17.453125" customWidth="1"/>
    <col min="9" max="9" width="13.6328125" customWidth="1"/>
    <col min="10" max="10" width="15" customWidth="1"/>
    <col min="11" max="11" width="16.1796875" customWidth="1"/>
    <col min="12" max="12" width="15.453125" customWidth="1"/>
  </cols>
  <sheetData>
    <row r="2" spans="1:14" ht="18.600000000000001" x14ac:dyDescent="0.35">
      <c r="F2" s="280" t="s">
        <v>1448</v>
      </c>
    </row>
    <row r="4" spans="1:14" ht="24.6" customHeight="1" x14ac:dyDescent="0.35">
      <c r="A4" s="1"/>
      <c r="B4" s="5"/>
      <c r="C4" s="247" t="s">
        <v>2</v>
      </c>
      <c r="D4" s="247" t="s">
        <v>2</v>
      </c>
      <c r="E4" s="247" t="s">
        <v>2</v>
      </c>
      <c r="F4" s="247" t="s">
        <v>2</v>
      </c>
      <c r="G4" s="247" t="s">
        <v>2</v>
      </c>
      <c r="H4" s="247" t="s">
        <v>2</v>
      </c>
      <c r="I4" s="247" t="s">
        <v>2</v>
      </c>
      <c r="J4" s="247" t="s">
        <v>2</v>
      </c>
      <c r="K4" s="247" t="s">
        <v>2</v>
      </c>
      <c r="L4" s="247" t="s">
        <v>2</v>
      </c>
      <c r="M4" s="1"/>
      <c r="N4" s="1"/>
    </row>
    <row r="5" spans="1:14" s="2" customFormat="1" ht="16.8" x14ac:dyDescent="0.35">
      <c r="C5" s="270" t="s">
        <v>1449</v>
      </c>
      <c r="D5" s="271" t="s">
        <v>145</v>
      </c>
      <c r="E5" s="271" t="s">
        <v>15</v>
      </c>
      <c r="F5" s="271" t="s">
        <v>16</v>
      </c>
      <c r="G5" s="271" t="s">
        <v>16</v>
      </c>
      <c r="H5" s="271" t="s">
        <v>101</v>
      </c>
      <c r="I5" s="271" t="s">
        <v>76</v>
      </c>
      <c r="J5" s="271" t="s">
        <v>1450</v>
      </c>
      <c r="K5" s="271" t="s">
        <v>359</v>
      </c>
      <c r="L5" s="271" t="s">
        <v>1450</v>
      </c>
    </row>
    <row r="6" spans="1:14" ht="16.8" x14ac:dyDescent="0.35">
      <c r="C6" s="353"/>
      <c r="D6" s="353" t="s">
        <v>1451</v>
      </c>
      <c r="E6" s="353" t="s">
        <v>15</v>
      </c>
      <c r="F6" s="353" t="s">
        <v>16</v>
      </c>
      <c r="G6" s="353" t="s">
        <v>25</v>
      </c>
      <c r="H6" s="353" t="s">
        <v>101</v>
      </c>
      <c r="I6" s="353" t="s">
        <v>76</v>
      </c>
      <c r="J6" s="353" t="s">
        <v>1450</v>
      </c>
      <c r="K6" s="353" t="s">
        <v>359</v>
      </c>
      <c r="L6" s="272"/>
    </row>
    <row r="7" spans="1:14" ht="16.8" x14ac:dyDescent="0.35">
      <c r="C7" s="270"/>
      <c r="D7" s="271" t="s">
        <v>800</v>
      </c>
      <c r="E7" s="271" t="s">
        <v>15</v>
      </c>
      <c r="F7" s="271" t="s">
        <v>16</v>
      </c>
      <c r="G7" s="271" t="s">
        <v>25</v>
      </c>
      <c r="H7" s="271" t="s">
        <v>101</v>
      </c>
      <c r="I7" s="271" t="s">
        <v>76</v>
      </c>
      <c r="J7" s="271" t="s">
        <v>1450</v>
      </c>
      <c r="K7" s="271" t="s">
        <v>359</v>
      </c>
      <c r="L7" s="271" t="s">
        <v>1452</v>
      </c>
    </row>
    <row r="8" spans="1:14" ht="16.8" x14ac:dyDescent="0.35">
      <c r="C8" s="270" t="s">
        <v>1453</v>
      </c>
      <c r="D8" s="271" t="s">
        <v>800</v>
      </c>
      <c r="E8" s="271" t="s">
        <v>15</v>
      </c>
      <c r="F8" s="271" t="s">
        <v>16</v>
      </c>
      <c r="G8" s="271" t="s">
        <v>25</v>
      </c>
      <c r="H8" s="271" t="s">
        <v>101</v>
      </c>
      <c r="I8" s="271" t="s">
        <v>76</v>
      </c>
      <c r="J8" s="271" t="s">
        <v>1450</v>
      </c>
      <c r="K8" s="272"/>
      <c r="L8" s="272"/>
    </row>
    <row r="9" spans="1:14" ht="16.8" x14ac:dyDescent="0.35">
      <c r="C9" s="270" t="s">
        <v>1046</v>
      </c>
      <c r="D9" s="271" t="s">
        <v>800</v>
      </c>
      <c r="E9" s="271" t="s">
        <v>15</v>
      </c>
      <c r="F9" s="271" t="s">
        <v>16</v>
      </c>
      <c r="G9" s="271" t="s">
        <v>25</v>
      </c>
      <c r="H9" s="271" t="s">
        <v>101</v>
      </c>
      <c r="I9" s="271" t="s">
        <v>76</v>
      </c>
      <c r="J9" s="271" t="s">
        <v>1450</v>
      </c>
      <c r="K9" s="271" t="s">
        <v>359</v>
      </c>
      <c r="L9" s="272"/>
    </row>
    <row r="10" spans="1:14" ht="16.8" x14ac:dyDescent="0.35">
      <c r="C10" s="270" t="s">
        <v>1048</v>
      </c>
      <c r="D10" s="271" t="s">
        <v>1454</v>
      </c>
      <c r="E10" s="271" t="s">
        <v>15</v>
      </c>
      <c r="F10" s="271" t="s">
        <v>16</v>
      </c>
      <c r="G10" s="271" t="s">
        <v>25</v>
      </c>
      <c r="H10" s="271" t="s">
        <v>101</v>
      </c>
      <c r="I10" s="271" t="s">
        <v>76</v>
      </c>
      <c r="J10" s="271" t="s">
        <v>1450</v>
      </c>
      <c r="K10" s="271" t="s">
        <v>359</v>
      </c>
      <c r="L10" s="271" t="s">
        <v>1452</v>
      </c>
    </row>
    <row r="11" spans="1:14" ht="16.8" x14ac:dyDescent="0.35">
      <c r="C11" s="270" t="s">
        <v>1050</v>
      </c>
      <c r="D11" s="271" t="s">
        <v>800</v>
      </c>
      <c r="E11" s="271" t="s">
        <v>15</v>
      </c>
      <c r="F11" s="271" t="s">
        <v>16</v>
      </c>
      <c r="G11" s="271" t="s">
        <v>25</v>
      </c>
      <c r="H11" s="271"/>
      <c r="I11" s="271" t="s">
        <v>76</v>
      </c>
      <c r="J11" s="271"/>
      <c r="K11" s="271"/>
      <c r="L11" s="271"/>
    </row>
    <row r="12" spans="1:14" ht="16.8" x14ac:dyDescent="0.35">
      <c r="C12" s="270" t="s">
        <v>1455</v>
      </c>
      <c r="D12" s="271" t="s">
        <v>1454</v>
      </c>
      <c r="E12" s="271" t="s">
        <v>15</v>
      </c>
      <c r="F12" s="271" t="s">
        <v>16</v>
      </c>
      <c r="G12" s="271" t="s">
        <v>25</v>
      </c>
      <c r="H12" s="271" t="s">
        <v>101</v>
      </c>
      <c r="I12" s="271" t="s">
        <v>76</v>
      </c>
      <c r="J12" s="271" t="s">
        <v>1450</v>
      </c>
      <c r="K12" s="271" t="s">
        <v>359</v>
      </c>
      <c r="L12" s="271" t="s">
        <v>1452</v>
      </c>
    </row>
    <row r="13" spans="1:14" ht="16.8" x14ac:dyDescent="0.35">
      <c r="C13" s="270" t="s">
        <v>1054</v>
      </c>
      <c r="D13" s="271" t="s">
        <v>1456</v>
      </c>
      <c r="E13" s="271" t="s">
        <v>15</v>
      </c>
      <c r="F13" s="271" t="s">
        <v>16</v>
      </c>
      <c r="G13" s="271" t="s">
        <v>25</v>
      </c>
      <c r="H13" s="271" t="s">
        <v>101</v>
      </c>
      <c r="I13" s="271" t="s">
        <v>76</v>
      </c>
      <c r="J13" s="271" t="s">
        <v>1450</v>
      </c>
      <c r="K13" s="271" t="s">
        <v>359</v>
      </c>
      <c r="L13" s="272"/>
    </row>
    <row r="14" spans="1:14" ht="16.8" x14ac:dyDescent="0.35">
      <c r="C14" s="270" t="s">
        <v>443</v>
      </c>
      <c r="D14" s="271" t="s">
        <v>1456</v>
      </c>
      <c r="E14" s="271" t="s">
        <v>15</v>
      </c>
      <c r="F14" s="271" t="s">
        <v>16</v>
      </c>
      <c r="G14" s="271" t="s">
        <v>25</v>
      </c>
      <c r="H14" s="271" t="s">
        <v>101</v>
      </c>
      <c r="I14" s="271" t="s">
        <v>76</v>
      </c>
      <c r="J14" s="272"/>
      <c r="K14" s="272"/>
      <c r="L14" s="272"/>
    </row>
    <row r="15" spans="1:14" ht="16.8" x14ac:dyDescent="0.35">
      <c r="C15" s="270" t="s">
        <v>1057</v>
      </c>
      <c r="D15" s="271" t="s">
        <v>1456</v>
      </c>
      <c r="E15" s="271" t="s">
        <v>15</v>
      </c>
      <c r="F15" s="271" t="s">
        <v>16</v>
      </c>
      <c r="G15" s="271" t="s">
        <v>25</v>
      </c>
      <c r="H15" s="271" t="s">
        <v>101</v>
      </c>
      <c r="I15" s="271" t="s">
        <v>76</v>
      </c>
      <c r="J15" s="272"/>
      <c r="K15" s="272"/>
      <c r="L15" s="272"/>
    </row>
    <row r="16" spans="1:14" ht="16.8" x14ac:dyDescent="0.35">
      <c r="C16" s="271" t="s">
        <v>1079</v>
      </c>
      <c r="D16" s="271" t="s">
        <v>1456</v>
      </c>
      <c r="E16" s="271" t="s">
        <v>15</v>
      </c>
      <c r="F16" s="271" t="s">
        <v>16</v>
      </c>
      <c r="G16" s="271" t="s">
        <v>25</v>
      </c>
      <c r="H16" s="271" t="s">
        <v>101</v>
      </c>
      <c r="I16" s="271" t="s">
        <v>76</v>
      </c>
      <c r="J16" s="272"/>
      <c r="K16" s="272"/>
      <c r="L16" s="272"/>
    </row>
    <row r="17" spans="1:14" ht="16.8" x14ac:dyDescent="0.35">
      <c r="C17" s="270" t="s">
        <v>1065</v>
      </c>
      <c r="D17" s="271" t="s">
        <v>1457</v>
      </c>
      <c r="E17" s="271" t="s">
        <v>15</v>
      </c>
      <c r="F17" s="271" t="s">
        <v>16</v>
      </c>
      <c r="G17" s="271" t="s">
        <v>25</v>
      </c>
      <c r="H17" s="271" t="s">
        <v>101</v>
      </c>
      <c r="I17" s="271" t="s">
        <v>76</v>
      </c>
      <c r="J17" s="271" t="s">
        <v>1450</v>
      </c>
      <c r="K17" s="271" t="s">
        <v>359</v>
      </c>
      <c r="L17" s="271"/>
    </row>
    <row r="18" spans="1:14" ht="16.8" x14ac:dyDescent="0.35">
      <c r="C18" s="270"/>
      <c r="D18" s="271" t="s">
        <v>145</v>
      </c>
      <c r="E18" s="271" t="s">
        <v>15</v>
      </c>
      <c r="F18" s="271" t="s">
        <v>16</v>
      </c>
      <c r="G18" s="271" t="s">
        <v>163</v>
      </c>
      <c r="H18" s="271" t="s">
        <v>101</v>
      </c>
      <c r="I18" s="271" t="s">
        <v>76</v>
      </c>
      <c r="J18" s="271" t="s">
        <v>1450</v>
      </c>
      <c r="K18" s="271" t="s">
        <v>359</v>
      </c>
      <c r="L18" s="271" t="s">
        <v>1452</v>
      </c>
    </row>
    <row r="19" spans="1:14" ht="16.5" customHeight="1" x14ac:dyDescent="0.35">
      <c r="C19" s="270" t="s">
        <v>1077</v>
      </c>
      <c r="D19" s="271" t="s">
        <v>145</v>
      </c>
      <c r="E19" s="271" t="s">
        <v>15</v>
      </c>
      <c r="F19" s="271" t="s">
        <v>16</v>
      </c>
      <c r="G19" s="271" t="s">
        <v>25</v>
      </c>
      <c r="H19" s="271" t="s">
        <v>101</v>
      </c>
      <c r="I19" s="271" t="s">
        <v>76</v>
      </c>
      <c r="J19" s="271" t="s">
        <v>1450</v>
      </c>
      <c r="K19" s="271" t="s">
        <v>359</v>
      </c>
      <c r="L19" s="271" t="s">
        <v>1452</v>
      </c>
    </row>
    <row r="20" spans="1:14" ht="16.8" x14ac:dyDescent="0.35">
      <c r="C20" s="270" t="s">
        <v>1458</v>
      </c>
      <c r="D20" s="271" t="s">
        <v>145</v>
      </c>
      <c r="E20" s="271"/>
      <c r="F20" s="271" t="s">
        <v>16</v>
      </c>
      <c r="G20" s="271" t="s">
        <v>25</v>
      </c>
      <c r="H20" s="271" t="s">
        <v>101</v>
      </c>
      <c r="I20" s="271" t="s">
        <v>76</v>
      </c>
      <c r="J20" s="271"/>
      <c r="K20" s="271"/>
      <c r="L20" s="271"/>
    </row>
    <row r="21" spans="1:14" ht="16.8" x14ac:dyDescent="0.35">
      <c r="C21" s="271" t="s">
        <v>1081</v>
      </c>
      <c r="D21" s="271" t="s">
        <v>1456</v>
      </c>
      <c r="E21" s="271"/>
      <c r="F21" s="271" t="s">
        <v>16</v>
      </c>
      <c r="G21" s="271" t="s">
        <v>25</v>
      </c>
      <c r="H21" s="271" t="s">
        <v>101</v>
      </c>
      <c r="I21" s="271" t="s">
        <v>76</v>
      </c>
      <c r="J21" s="272"/>
      <c r="K21" s="272"/>
      <c r="L21" s="272"/>
    </row>
    <row r="22" spans="1:14" ht="16.8" x14ac:dyDescent="0.35">
      <c r="C22" s="273" t="s">
        <v>1459</v>
      </c>
      <c r="D22" s="273"/>
      <c r="E22" s="271" t="s">
        <v>15</v>
      </c>
      <c r="F22" s="271" t="s">
        <v>16</v>
      </c>
      <c r="G22" s="271" t="s">
        <v>25</v>
      </c>
      <c r="H22" s="271" t="s">
        <v>101</v>
      </c>
      <c r="I22" s="271" t="s">
        <v>76</v>
      </c>
      <c r="J22" s="274"/>
      <c r="K22" s="274"/>
      <c r="L22" s="274"/>
    </row>
    <row r="23" spans="1:14" ht="16.8" x14ac:dyDescent="0.35">
      <c r="C23" s="273" t="s">
        <v>1460</v>
      </c>
      <c r="D23" s="273"/>
      <c r="E23" s="271" t="s">
        <v>15</v>
      </c>
      <c r="F23" s="271" t="s">
        <v>16</v>
      </c>
      <c r="G23" s="271" t="s">
        <v>25</v>
      </c>
      <c r="H23" s="271" t="s">
        <v>101</v>
      </c>
      <c r="I23" s="271" t="s">
        <v>76</v>
      </c>
      <c r="J23" s="274"/>
      <c r="K23" s="274"/>
      <c r="L23" s="274"/>
    </row>
    <row r="24" spans="1:14" ht="18.75" customHeight="1" x14ac:dyDescent="0.35">
      <c r="C24" s="273" t="s">
        <v>1461</v>
      </c>
      <c r="D24" s="271" t="s">
        <v>15</v>
      </c>
      <c r="E24" s="271" t="s">
        <v>15</v>
      </c>
      <c r="F24" s="271" t="s">
        <v>16</v>
      </c>
      <c r="G24" s="271" t="s">
        <v>25</v>
      </c>
      <c r="H24" s="271" t="s">
        <v>101</v>
      </c>
      <c r="I24" s="271" t="s">
        <v>76</v>
      </c>
      <c r="J24" s="274"/>
      <c r="K24" s="274"/>
      <c r="L24" s="274"/>
    </row>
    <row r="25" spans="1:14" ht="18.75" customHeight="1" x14ac:dyDescent="0.35">
      <c r="C25" s="273" t="s">
        <v>1462</v>
      </c>
      <c r="D25" s="271" t="s">
        <v>15</v>
      </c>
      <c r="E25" s="271" t="s">
        <v>15</v>
      </c>
      <c r="F25" s="271" t="s">
        <v>16</v>
      </c>
      <c r="G25" s="271" t="s">
        <v>25</v>
      </c>
      <c r="H25" s="271" t="s">
        <v>101</v>
      </c>
      <c r="I25" s="271" t="s">
        <v>76</v>
      </c>
      <c r="J25" s="274"/>
      <c r="K25" s="274"/>
      <c r="L25" s="274"/>
    </row>
    <row r="26" spans="1:14" ht="27.75" customHeight="1" x14ac:dyDescent="0.35">
      <c r="C26" s="273"/>
      <c r="D26" s="273"/>
      <c r="E26" s="273"/>
      <c r="F26" s="281" t="s">
        <v>1463</v>
      </c>
      <c r="G26" s="273"/>
      <c r="H26" s="274"/>
      <c r="I26" s="273"/>
      <c r="J26" s="274"/>
      <c r="K26" s="274"/>
      <c r="L26" s="274"/>
    </row>
    <row r="28" spans="1:14" ht="24.6" customHeight="1" x14ac:dyDescent="0.35">
      <c r="A28" s="1"/>
      <c r="B28" s="5"/>
      <c r="C28" s="247" t="s">
        <v>2</v>
      </c>
      <c r="D28" s="247" t="s">
        <v>3</v>
      </c>
      <c r="E28" s="247" t="s">
        <v>4</v>
      </c>
      <c r="F28" s="247" t="s">
        <v>5</v>
      </c>
      <c r="G28" s="247" t="s">
        <v>6</v>
      </c>
      <c r="H28" s="247" t="s">
        <v>7</v>
      </c>
      <c r="I28" s="247" t="s">
        <v>8</v>
      </c>
      <c r="J28" s="247" t="s">
        <v>1464</v>
      </c>
      <c r="K28" s="81"/>
      <c r="L28" s="1"/>
      <c r="M28" s="1"/>
      <c r="N28" s="1"/>
    </row>
    <row r="29" spans="1:14" ht="24.6" customHeight="1" x14ac:dyDescent="0.3">
      <c r="A29" s="1"/>
      <c r="B29" s="5"/>
      <c r="C29" s="270" t="s">
        <v>1449</v>
      </c>
      <c r="D29" s="278" t="s">
        <v>1451</v>
      </c>
      <c r="E29" s="278" t="s">
        <v>1465</v>
      </c>
      <c r="F29" s="278" t="s">
        <v>1466</v>
      </c>
      <c r="G29" s="278" t="s">
        <v>1467</v>
      </c>
      <c r="H29" s="278" t="s">
        <v>1468</v>
      </c>
      <c r="I29" s="278" t="s">
        <v>76</v>
      </c>
      <c r="J29" s="9"/>
      <c r="K29" s="81"/>
      <c r="L29" s="1"/>
      <c r="M29" s="1"/>
      <c r="N29" s="1"/>
    </row>
    <row r="30" spans="1:14" s="2" customFormat="1" ht="16.8" x14ac:dyDescent="0.35">
      <c r="C30" s="277" t="s">
        <v>1042</v>
      </c>
      <c r="D30" s="278" t="s">
        <v>800</v>
      </c>
      <c r="E30" s="278" t="s">
        <v>1465</v>
      </c>
      <c r="F30" s="278" t="s">
        <v>1466</v>
      </c>
      <c r="G30" s="278" t="s">
        <v>1467</v>
      </c>
      <c r="H30" s="278" t="s">
        <v>1468</v>
      </c>
      <c r="I30" s="278" t="s">
        <v>76</v>
      </c>
    </row>
    <row r="31" spans="1:14" s="2" customFormat="1" ht="16.8" x14ac:dyDescent="0.35">
      <c r="C31" s="277" t="s">
        <v>1044</v>
      </c>
      <c r="D31" s="278" t="s">
        <v>800</v>
      </c>
      <c r="E31" s="278" t="s">
        <v>1465</v>
      </c>
      <c r="F31" s="278" t="s">
        <v>1466</v>
      </c>
      <c r="G31" s="278" t="s">
        <v>1467</v>
      </c>
      <c r="H31" s="278" t="s">
        <v>1468</v>
      </c>
      <c r="I31" s="278" t="s">
        <v>76</v>
      </c>
    </row>
    <row r="32" spans="1:14" ht="16.8" x14ac:dyDescent="0.35">
      <c r="C32" s="277" t="s">
        <v>1046</v>
      </c>
      <c r="D32" s="278" t="s">
        <v>800</v>
      </c>
      <c r="E32" s="278" t="s">
        <v>1465</v>
      </c>
      <c r="F32" s="278" t="s">
        <v>1466</v>
      </c>
      <c r="G32" s="278" t="s">
        <v>1467</v>
      </c>
      <c r="H32" s="278" t="s">
        <v>1468</v>
      </c>
      <c r="I32" s="278" t="s">
        <v>76</v>
      </c>
    </row>
    <row r="33" spans="3:10" ht="16.8" x14ac:dyDescent="0.35">
      <c r="C33" s="277" t="s">
        <v>1048</v>
      </c>
      <c r="D33" s="278" t="s">
        <v>1454</v>
      </c>
      <c r="E33" s="278" t="s">
        <v>1465</v>
      </c>
      <c r="F33" s="278" t="s">
        <v>1466</v>
      </c>
      <c r="G33" s="278" t="s">
        <v>1467</v>
      </c>
      <c r="H33" s="278" t="s">
        <v>1468</v>
      </c>
      <c r="I33" s="278" t="s">
        <v>76</v>
      </c>
    </row>
    <row r="34" spans="3:10" ht="16.8" x14ac:dyDescent="0.35">
      <c r="C34" s="277" t="s">
        <v>1050</v>
      </c>
      <c r="D34" s="279" t="s">
        <v>800</v>
      </c>
      <c r="E34" s="278" t="s">
        <v>1465</v>
      </c>
      <c r="F34" s="278" t="s">
        <v>1466</v>
      </c>
      <c r="G34" s="278" t="s">
        <v>1467</v>
      </c>
      <c r="H34" s="278" t="s">
        <v>1468</v>
      </c>
      <c r="I34" s="278" t="s">
        <v>76</v>
      </c>
    </row>
    <row r="35" spans="3:10" ht="16.8" x14ac:dyDescent="0.35">
      <c r="C35" s="277" t="s">
        <v>1052</v>
      </c>
      <c r="D35" s="278" t="s">
        <v>1454</v>
      </c>
      <c r="E35" s="278" t="s">
        <v>1465</v>
      </c>
      <c r="F35" s="278" t="s">
        <v>1466</v>
      </c>
      <c r="G35" s="278" t="s">
        <v>1467</v>
      </c>
      <c r="H35" s="278" t="s">
        <v>1468</v>
      </c>
      <c r="I35" s="278" t="s">
        <v>76</v>
      </c>
    </row>
    <row r="36" spans="3:10" ht="16.8" x14ac:dyDescent="0.35">
      <c r="C36" s="277" t="s">
        <v>1469</v>
      </c>
      <c r="D36" s="278" t="s">
        <v>800</v>
      </c>
      <c r="E36" s="278" t="s">
        <v>1465</v>
      </c>
      <c r="F36" s="278" t="s">
        <v>1466</v>
      </c>
      <c r="G36" s="278" t="s">
        <v>1470</v>
      </c>
      <c r="H36" s="278" t="s">
        <v>1471</v>
      </c>
      <c r="I36" s="278" t="s">
        <v>76</v>
      </c>
    </row>
    <row r="37" spans="3:10" ht="16.8" x14ac:dyDescent="0.35">
      <c r="C37" s="277" t="s">
        <v>443</v>
      </c>
      <c r="D37" s="279" t="s">
        <v>1456</v>
      </c>
      <c r="E37" s="278" t="s">
        <v>1465</v>
      </c>
      <c r="F37" s="278" t="s">
        <v>1466</v>
      </c>
      <c r="G37" s="278"/>
      <c r="H37" s="278"/>
      <c r="I37" s="278" t="s">
        <v>76</v>
      </c>
    </row>
    <row r="38" spans="3:10" ht="16.8" x14ac:dyDescent="0.35">
      <c r="C38" s="277" t="s">
        <v>1057</v>
      </c>
      <c r="D38" s="279" t="s">
        <v>1456</v>
      </c>
      <c r="E38" s="278" t="s">
        <v>1465</v>
      </c>
      <c r="F38" s="278" t="s">
        <v>1466</v>
      </c>
      <c r="G38" s="278"/>
      <c r="H38" s="278"/>
      <c r="I38" s="278" t="s">
        <v>76</v>
      </c>
    </row>
    <row r="39" spans="3:10" ht="16.8" x14ac:dyDescent="0.35">
      <c r="C39" s="278" t="s">
        <v>1054</v>
      </c>
      <c r="D39" s="279" t="s">
        <v>1456</v>
      </c>
      <c r="E39" s="278" t="s">
        <v>1465</v>
      </c>
      <c r="F39" s="278" t="s">
        <v>1466</v>
      </c>
      <c r="G39" s="278"/>
      <c r="H39" s="278"/>
      <c r="I39" s="278" t="s">
        <v>76</v>
      </c>
    </row>
    <row r="40" spans="3:10" ht="16.8" x14ac:dyDescent="0.35">
      <c r="C40" s="277" t="s">
        <v>1059</v>
      </c>
      <c r="D40" s="278" t="s">
        <v>800</v>
      </c>
      <c r="E40" s="278" t="s">
        <v>1465</v>
      </c>
      <c r="F40" s="278" t="s">
        <v>1466</v>
      </c>
      <c r="G40" s="278" t="s">
        <v>1467</v>
      </c>
      <c r="H40" s="278" t="s">
        <v>1468</v>
      </c>
      <c r="I40" s="278" t="s">
        <v>76</v>
      </c>
      <c r="J40" s="440" t="s">
        <v>1361</v>
      </c>
    </row>
    <row r="41" spans="3:10" ht="16.8" x14ac:dyDescent="0.35">
      <c r="C41" s="277" t="s">
        <v>1061</v>
      </c>
      <c r="D41" s="278" t="s">
        <v>800</v>
      </c>
      <c r="E41" s="278" t="s">
        <v>1465</v>
      </c>
      <c r="F41" s="278" t="s">
        <v>1466</v>
      </c>
      <c r="G41" s="278" t="s">
        <v>1467</v>
      </c>
      <c r="H41" s="278" t="s">
        <v>1468</v>
      </c>
      <c r="I41" s="278" t="s">
        <v>76</v>
      </c>
    </row>
    <row r="42" spans="3:10" ht="16.8" x14ac:dyDescent="0.35">
      <c r="C42" s="277" t="s">
        <v>1063</v>
      </c>
      <c r="D42" s="278" t="s">
        <v>800</v>
      </c>
      <c r="E42" s="278"/>
      <c r="F42" s="278"/>
      <c r="G42" s="278"/>
      <c r="H42" s="278"/>
      <c r="I42" s="278"/>
    </row>
    <row r="43" spans="3:10" ht="16.8" x14ac:dyDescent="0.35">
      <c r="C43" s="277" t="s">
        <v>1065</v>
      </c>
      <c r="D43" s="278" t="s">
        <v>1457</v>
      </c>
      <c r="E43" s="278" t="s">
        <v>1465</v>
      </c>
      <c r="F43" s="278" t="s">
        <v>1466</v>
      </c>
      <c r="G43" s="278" t="s">
        <v>1467</v>
      </c>
      <c r="H43" s="278" t="s">
        <v>1468</v>
      </c>
      <c r="I43" s="278" t="s">
        <v>76</v>
      </c>
    </row>
    <row r="44" spans="3:10" ht="16.8" x14ac:dyDescent="0.35">
      <c r="C44" s="277" t="s">
        <v>1067</v>
      </c>
      <c r="D44" s="278" t="s">
        <v>1457</v>
      </c>
      <c r="E44" s="278" t="s">
        <v>1465</v>
      </c>
      <c r="F44" s="278" t="s">
        <v>1466</v>
      </c>
      <c r="G44" s="278" t="s">
        <v>1467</v>
      </c>
      <c r="H44" s="278" t="s">
        <v>1468</v>
      </c>
      <c r="I44" s="278" t="s">
        <v>76</v>
      </c>
    </row>
    <row r="45" spans="3:10" ht="16.8" x14ac:dyDescent="0.35">
      <c r="C45" s="277" t="s">
        <v>1069</v>
      </c>
      <c r="D45" s="278" t="s">
        <v>1457</v>
      </c>
      <c r="E45" s="278" t="s">
        <v>1465</v>
      </c>
      <c r="F45" s="278" t="s">
        <v>1466</v>
      </c>
      <c r="G45" s="278" t="s">
        <v>1467</v>
      </c>
      <c r="H45" s="278" t="s">
        <v>1468</v>
      </c>
      <c r="I45" s="278" t="s">
        <v>76</v>
      </c>
    </row>
    <row r="46" spans="3:10" ht="16.8" x14ac:dyDescent="0.35">
      <c r="C46" s="277" t="s">
        <v>1472</v>
      </c>
      <c r="D46" s="278" t="s">
        <v>1457</v>
      </c>
      <c r="E46" s="278" t="s">
        <v>1465</v>
      </c>
      <c r="F46" s="278" t="s">
        <v>1466</v>
      </c>
      <c r="G46" s="278" t="s">
        <v>1467</v>
      </c>
      <c r="H46" s="278" t="s">
        <v>1468</v>
      </c>
      <c r="I46" s="278" t="s">
        <v>76</v>
      </c>
    </row>
    <row r="47" spans="3:10" ht="16.8" x14ac:dyDescent="0.35">
      <c r="C47" s="278" t="s">
        <v>1073</v>
      </c>
      <c r="D47" s="278" t="s">
        <v>1457</v>
      </c>
      <c r="E47" s="278" t="s">
        <v>1465</v>
      </c>
      <c r="F47" s="278"/>
      <c r="G47" s="278" t="s">
        <v>1467</v>
      </c>
      <c r="H47" s="278"/>
      <c r="I47" s="278" t="s">
        <v>76</v>
      </c>
    </row>
    <row r="48" spans="3:10" ht="16.8" x14ac:dyDescent="0.35">
      <c r="C48" s="277"/>
      <c r="D48" s="278" t="s">
        <v>145</v>
      </c>
      <c r="E48" s="278" t="s">
        <v>1465</v>
      </c>
      <c r="F48" s="278" t="s">
        <v>1466</v>
      </c>
      <c r="G48" s="278" t="s">
        <v>1467</v>
      </c>
      <c r="H48" s="278" t="s">
        <v>1468</v>
      </c>
      <c r="I48" s="278" t="s">
        <v>76</v>
      </c>
    </row>
    <row r="49" spans="3:12" ht="16.8" x14ac:dyDescent="0.35">
      <c r="C49" s="277" t="s">
        <v>1077</v>
      </c>
      <c r="D49" s="278" t="s">
        <v>145</v>
      </c>
      <c r="E49" s="278" t="s">
        <v>1465</v>
      </c>
      <c r="F49" s="278" t="s">
        <v>1466</v>
      </c>
      <c r="G49" s="278" t="s">
        <v>1467</v>
      </c>
      <c r="H49" s="278" t="s">
        <v>1468</v>
      </c>
      <c r="I49" s="278" t="s">
        <v>76</v>
      </c>
    </row>
    <row r="50" spans="3:12" ht="16.8" x14ac:dyDescent="0.35">
      <c r="C50" s="278" t="s">
        <v>1078</v>
      </c>
      <c r="D50" s="278" t="s">
        <v>1473</v>
      </c>
      <c r="E50" s="278" t="s">
        <v>1465</v>
      </c>
      <c r="F50" s="278" t="s">
        <v>1466</v>
      </c>
      <c r="G50" s="278" t="s">
        <v>1467</v>
      </c>
      <c r="H50" s="278" t="s">
        <v>1468</v>
      </c>
      <c r="I50" s="278" t="s">
        <v>76</v>
      </c>
    </row>
    <row r="51" spans="3:12" ht="16.8" x14ac:dyDescent="0.35">
      <c r="C51" s="278" t="s">
        <v>1079</v>
      </c>
      <c r="D51" s="279" t="s">
        <v>1456</v>
      </c>
      <c r="E51" s="278" t="s">
        <v>1465</v>
      </c>
      <c r="F51" s="278" t="s">
        <v>1466</v>
      </c>
      <c r="G51" s="278" t="s">
        <v>1467</v>
      </c>
      <c r="H51" s="278" t="s">
        <v>1468</v>
      </c>
      <c r="I51" s="278" t="s">
        <v>76</v>
      </c>
    </row>
    <row r="52" spans="3:12" ht="16.8" x14ac:dyDescent="0.35">
      <c r="C52" s="278" t="s">
        <v>1081</v>
      </c>
      <c r="D52" s="279" t="s">
        <v>1456</v>
      </c>
      <c r="E52" s="278" t="s">
        <v>1465</v>
      </c>
      <c r="F52" s="278" t="s">
        <v>1466</v>
      </c>
      <c r="G52" s="278" t="s">
        <v>1467</v>
      </c>
      <c r="H52" s="278" t="s">
        <v>1468</v>
      </c>
      <c r="I52" s="278" t="s">
        <v>76</v>
      </c>
    </row>
    <row r="53" spans="3:12" ht="16.8" x14ac:dyDescent="0.35">
      <c r="C53" s="278" t="s">
        <v>1082</v>
      </c>
      <c r="D53" s="278" t="s">
        <v>1457</v>
      </c>
      <c r="E53" s="278" t="s">
        <v>1465</v>
      </c>
      <c r="F53" s="278" t="s">
        <v>1466</v>
      </c>
      <c r="G53" s="278" t="s">
        <v>1467</v>
      </c>
      <c r="H53" s="278" t="s">
        <v>1468</v>
      </c>
      <c r="I53" s="278" t="s">
        <v>76</v>
      </c>
    </row>
    <row r="54" spans="3:12" ht="21.75" customHeight="1" x14ac:dyDescent="0.35">
      <c r="C54" s="441" t="s">
        <v>1067</v>
      </c>
      <c r="D54" s="441" t="s">
        <v>1368</v>
      </c>
      <c r="E54" s="371" t="s">
        <v>1465</v>
      </c>
      <c r="F54" s="371" t="s">
        <v>1466</v>
      </c>
      <c r="G54" s="371" t="s">
        <v>1467</v>
      </c>
      <c r="H54" s="278" t="s">
        <v>1468</v>
      </c>
      <c r="I54" s="278" t="s">
        <v>76</v>
      </c>
      <c r="J54" s="442" t="s">
        <v>1377</v>
      </c>
    </row>
    <row r="55" spans="3:12" ht="16.8" x14ac:dyDescent="0.35">
      <c r="C55" s="443" t="s">
        <v>1474</v>
      </c>
      <c r="D55" s="441" t="s">
        <v>442</v>
      </c>
      <c r="E55" s="371" t="s">
        <v>1465</v>
      </c>
      <c r="F55" s="371" t="s">
        <v>1466</v>
      </c>
      <c r="G55" s="371" t="s">
        <v>1467</v>
      </c>
      <c r="H55" s="278" t="s">
        <v>1468</v>
      </c>
      <c r="I55" s="278" t="s">
        <v>1475</v>
      </c>
      <c r="J55" s="442" t="s">
        <v>1443</v>
      </c>
      <c r="K55" s="274"/>
      <c r="L55" s="274"/>
    </row>
    <row r="56" spans="3:12" ht="16.8" x14ac:dyDescent="0.35">
      <c r="C56" s="441" t="s">
        <v>1476</v>
      </c>
      <c r="D56" s="441" t="s">
        <v>442</v>
      </c>
      <c r="E56" s="371" t="s">
        <v>1465</v>
      </c>
      <c r="F56" s="371" t="s">
        <v>1466</v>
      </c>
      <c r="G56" s="371" t="s">
        <v>1467</v>
      </c>
      <c r="H56" s="278" t="s">
        <v>1468</v>
      </c>
      <c r="I56" s="278" t="s">
        <v>1477</v>
      </c>
      <c r="J56" s="442" t="s">
        <v>1447</v>
      </c>
    </row>
    <row r="57" spans="3:12" ht="18.600000000000001" x14ac:dyDescent="0.35">
      <c r="F57" s="280" t="s">
        <v>1478</v>
      </c>
      <c r="I57" s="278"/>
    </row>
    <row r="59" spans="3:12" x14ac:dyDescent="0.35">
      <c r="C59" s="247" t="s">
        <v>2</v>
      </c>
      <c r="D59" s="247" t="s">
        <v>3</v>
      </c>
      <c r="E59" s="247" t="s">
        <v>4</v>
      </c>
      <c r="F59" s="247" t="s">
        <v>5</v>
      </c>
      <c r="G59" s="247" t="s">
        <v>6</v>
      </c>
      <c r="H59" s="247" t="s">
        <v>7</v>
      </c>
      <c r="I59" s="247" t="s">
        <v>8</v>
      </c>
    </row>
    <row r="60" spans="3:12" x14ac:dyDescent="0.35">
      <c r="C60" s="50" t="s">
        <v>1479</v>
      </c>
      <c r="D60" s="2" t="s">
        <v>79</v>
      </c>
      <c r="E60" s="2" t="s">
        <v>638</v>
      </c>
      <c r="I60" s="2" t="s">
        <v>76</v>
      </c>
    </row>
    <row r="61" spans="3:12" x14ac:dyDescent="0.35">
      <c r="C61" s="2" t="s">
        <v>1042</v>
      </c>
      <c r="D61" s="2" t="s">
        <v>79</v>
      </c>
      <c r="E61" s="2" t="s">
        <v>638</v>
      </c>
      <c r="I61" s="2" t="s">
        <v>76</v>
      </c>
    </row>
    <row r="62" spans="3:12" x14ac:dyDescent="0.35">
      <c r="C62" s="2" t="s">
        <v>1075</v>
      </c>
      <c r="D62" s="2" t="s">
        <v>145</v>
      </c>
      <c r="E62" s="2" t="s">
        <v>638</v>
      </c>
      <c r="I62" s="2" t="s">
        <v>76</v>
      </c>
    </row>
    <row r="63" spans="3:12" x14ac:dyDescent="0.35">
      <c r="C63" s="2" t="s">
        <v>1077</v>
      </c>
      <c r="D63" s="2" t="s">
        <v>145</v>
      </c>
      <c r="E63" s="2" t="s">
        <v>638</v>
      </c>
      <c r="I63" s="2" t="s">
        <v>76</v>
      </c>
    </row>
    <row r="64" spans="3:12" x14ac:dyDescent="0.35">
      <c r="C64" s="2" t="s">
        <v>1065</v>
      </c>
      <c r="D64" s="2" t="s">
        <v>145</v>
      </c>
      <c r="E64" s="2" t="s">
        <v>638</v>
      </c>
      <c r="I64" s="2" t="s">
        <v>76</v>
      </c>
    </row>
    <row r="65" spans="3:9" ht="16.8" x14ac:dyDescent="0.35">
      <c r="C65" s="275" t="s">
        <v>1480</v>
      </c>
      <c r="D65" s="275" t="s">
        <v>1481</v>
      </c>
      <c r="E65" s="275" t="s">
        <v>638</v>
      </c>
      <c r="F65" s="275"/>
      <c r="G65" s="275"/>
      <c r="H65" s="276"/>
      <c r="I65" s="275" t="s">
        <v>76</v>
      </c>
    </row>
  </sheetData>
  <phoneticPr fontId="25" type="noConversion"/>
  <dataValidations count="4">
    <dataValidation allowBlank="1" showInputMessage="1" showErrorMessage="1" prompt="Insira uma descrição do compartimento nesta coluna" sqref="E59:F59 E28:F28" xr:uid="{CDE1CB52-DBBD-4567-AC8A-0ABD5DCFCC32}"/>
    <dataValidation allowBlank="1" showInputMessage="1" showErrorMessage="1" prompt="Insira a largura do compartimento nesta coluna" sqref="H59:I59 H28:J28 J29" xr:uid="{5CADA2AB-388C-4B78-AB20-CCB0A6FAAF78}"/>
    <dataValidation allowBlank="1" showInputMessage="1" showErrorMessage="1" prompt="Insira o local do compartimento nesta coluna" sqref="G59 G28" xr:uid="{79624C42-16CF-4978-BC0F-AF16EB2E9EB4}"/>
    <dataValidation allowBlank="1" showInputMessage="1" showErrorMessage="1" prompt="Inserir o número do compartimento nesta coluna" sqref="C59:D59 B28:B29 C28:D28 B4:L4" xr:uid="{10A1F2AB-8ADD-4958-B6E1-530F0D96E480}"/>
  </dataValidation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522A-8D41-4F7B-84D2-C61ABCCE0A10}">
  <sheetPr>
    <tabColor rgb="FF00B050"/>
  </sheetPr>
  <dimension ref="A1:N43"/>
  <sheetViews>
    <sheetView topLeftCell="A21" workbookViewId="0">
      <selection activeCell="C36" sqref="C36"/>
    </sheetView>
  </sheetViews>
  <sheetFormatPr defaultRowHeight="15" x14ac:dyDescent="0.35"/>
  <cols>
    <col min="1" max="1" width="20" customWidth="1"/>
    <col min="5" max="5" width="17.54296875" customWidth="1"/>
    <col min="8" max="8" width="16.90625" style="2" customWidth="1"/>
  </cols>
  <sheetData>
    <row r="1" spans="1:9" ht="30" x14ac:dyDescent="0.35">
      <c r="A1" s="35"/>
      <c r="B1" s="35"/>
      <c r="C1" s="35"/>
      <c r="D1" s="36"/>
    </row>
    <row r="2" spans="1:9" ht="30" x14ac:dyDescent="0.35">
      <c r="A2" s="35"/>
      <c r="B2" s="35"/>
      <c r="C2" s="35"/>
      <c r="D2" s="36"/>
    </row>
    <row r="3" spans="1:9" ht="30" x14ac:dyDescent="0.35">
      <c r="A3" s="35"/>
      <c r="B3" s="35"/>
      <c r="C3" s="35"/>
      <c r="D3" s="36"/>
    </row>
    <row r="4" spans="1:9" ht="30" x14ac:dyDescent="0.35">
      <c r="A4" s="35"/>
      <c r="B4" s="35"/>
      <c r="C4" s="251" t="s">
        <v>1482</v>
      </c>
      <c r="D4" s="36"/>
      <c r="F4" s="252" t="s">
        <v>1483</v>
      </c>
      <c r="H4" s="255">
        <v>4000</v>
      </c>
    </row>
    <row r="5" spans="1:9" x14ac:dyDescent="0.35">
      <c r="I5" t="s">
        <v>596</v>
      </c>
    </row>
    <row r="6" spans="1:9" x14ac:dyDescent="0.35">
      <c r="A6" t="s">
        <v>1484</v>
      </c>
    </row>
    <row r="7" spans="1:9" x14ac:dyDescent="0.35">
      <c r="A7" t="s">
        <v>1485</v>
      </c>
      <c r="G7" s="33" t="s">
        <v>199</v>
      </c>
    </row>
    <row r="9" spans="1:9" x14ac:dyDescent="0.35">
      <c r="A9" t="s">
        <v>1486</v>
      </c>
      <c r="H9"/>
      <c r="I9" s="2"/>
    </row>
    <row r="10" spans="1:9" s="34" customFormat="1" x14ac:dyDescent="0.35">
      <c r="A10" s="34" t="s">
        <v>1487</v>
      </c>
      <c r="G10" s="34" t="s">
        <v>1196</v>
      </c>
      <c r="H10" s="253"/>
    </row>
    <row r="12" spans="1:9" x14ac:dyDescent="0.35">
      <c r="A12" t="s">
        <v>1488</v>
      </c>
    </row>
    <row r="13" spans="1:9" x14ac:dyDescent="0.35">
      <c r="A13" s="344" t="s">
        <v>1489</v>
      </c>
      <c r="F13" s="34"/>
      <c r="G13" s="418" t="s">
        <v>13</v>
      </c>
      <c r="H13" s="253"/>
    </row>
    <row r="15" spans="1:9" x14ac:dyDescent="0.35">
      <c r="A15" t="s">
        <v>1490</v>
      </c>
    </row>
    <row r="16" spans="1:9" ht="14.4" customHeight="1" x14ac:dyDescent="0.35">
      <c r="A16" t="s">
        <v>1491</v>
      </c>
      <c r="G16" s="33" t="s">
        <v>250</v>
      </c>
      <c r="H16" s="254"/>
    </row>
    <row r="18" spans="1:14" x14ac:dyDescent="0.35">
      <c r="A18" t="s">
        <v>1492</v>
      </c>
    </row>
    <row r="19" spans="1:14" x14ac:dyDescent="0.35">
      <c r="A19" t="s">
        <v>1493</v>
      </c>
      <c r="G19" s="33" t="s">
        <v>173</v>
      </c>
      <c r="H19" s="254"/>
      <c r="J19" t="s">
        <v>1494</v>
      </c>
    </row>
    <row r="21" spans="1:14" x14ac:dyDescent="0.35">
      <c r="A21" t="s">
        <v>1495</v>
      </c>
      <c r="G21" s="33" t="s">
        <v>195</v>
      </c>
    </row>
    <row r="23" spans="1:14" x14ac:dyDescent="0.35">
      <c r="A23" t="s">
        <v>1496</v>
      </c>
      <c r="E23" t="s">
        <v>1497</v>
      </c>
      <c r="G23" s="33" t="s">
        <v>71</v>
      </c>
    </row>
    <row r="24" spans="1:14" x14ac:dyDescent="0.35">
      <c r="E24" s="33"/>
    </row>
    <row r="25" spans="1:14" x14ac:dyDescent="0.35">
      <c r="A25" t="s">
        <v>1498</v>
      </c>
      <c r="E25" t="s">
        <v>1497</v>
      </c>
      <c r="G25" s="33" t="s">
        <v>1499</v>
      </c>
    </row>
    <row r="26" spans="1:14" x14ac:dyDescent="0.35">
      <c r="A26" s="39"/>
      <c r="B26" s="39"/>
      <c r="C26" s="39"/>
      <c r="D26" s="39"/>
      <c r="E26" s="39"/>
      <c r="F26" s="39"/>
      <c r="G26" s="39"/>
      <c r="H26" s="41"/>
      <c r="I26" s="39"/>
      <c r="J26" s="39"/>
      <c r="K26" s="39"/>
      <c r="L26" s="39"/>
      <c r="M26" s="39"/>
      <c r="N26" s="39"/>
    </row>
    <row r="29" spans="1:14" ht="30" x14ac:dyDescent="0.35">
      <c r="C29" s="250" t="s">
        <v>1500</v>
      </c>
      <c r="F29" s="252" t="s">
        <v>1483</v>
      </c>
      <c r="H29" s="255">
        <v>10000</v>
      </c>
    </row>
    <row r="30" spans="1:14" x14ac:dyDescent="0.35">
      <c r="A30" t="s">
        <v>1501</v>
      </c>
    </row>
    <row r="31" spans="1:14" x14ac:dyDescent="0.35">
      <c r="A31" t="s">
        <v>1502</v>
      </c>
    </row>
    <row r="32" spans="1:14" x14ac:dyDescent="0.35">
      <c r="A32" t="s">
        <v>222</v>
      </c>
    </row>
    <row r="33" spans="1:14" x14ac:dyDescent="0.35">
      <c r="A33" t="s">
        <v>1503</v>
      </c>
      <c r="I33" cm="1">
        <f t="array" ref="I33:I37">F32:F36</f>
        <v>0</v>
      </c>
    </row>
    <row r="34" spans="1:14" x14ac:dyDescent="0.35">
      <c r="I34">
        <v>0</v>
      </c>
    </row>
    <row r="35" spans="1:14" x14ac:dyDescent="0.35">
      <c r="I35">
        <v>0</v>
      </c>
    </row>
    <row r="36" spans="1:14" ht="30" x14ac:dyDescent="0.35">
      <c r="C36" s="250" t="s">
        <v>1504</v>
      </c>
      <c r="F36" s="252" t="s">
        <v>1483</v>
      </c>
      <c r="H36" s="255">
        <v>3729</v>
      </c>
      <c r="I36">
        <v>0</v>
      </c>
    </row>
    <row r="37" spans="1:14" x14ac:dyDescent="0.35">
      <c r="A37" t="s">
        <v>1503</v>
      </c>
      <c r="I37" t="str">
        <v>VALOR:</v>
      </c>
    </row>
    <row r="40" spans="1:14" ht="30" x14ac:dyDescent="0.35">
      <c r="C40" s="250" t="s">
        <v>1505</v>
      </c>
      <c r="F40" s="252" t="s">
        <v>1483</v>
      </c>
      <c r="H40" s="255">
        <v>1957</v>
      </c>
    </row>
    <row r="41" spans="1:14" x14ac:dyDescent="0.35">
      <c r="A41" t="s">
        <v>1503</v>
      </c>
    </row>
    <row r="43" spans="1:14" x14ac:dyDescent="0.35">
      <c r="A43" s="39"/>
      <c r="B43" s="39"/>
      <c r="C43" s="39"/>
      <c r="D43" s="39"/>
      <c r="E43" s="39"/>
      <c r="F43" s="39"/>
      <c r="G43" s="39"/>
      <c r="H43" s="41"/>
      <c r="I43" s="39"/>
      <c r="J43" s="39"/>
      <c r="K43" s="39"/>
      <c r="L43" s="39"/>
      <c r="M43" s="39"/>
      <c r="N43" s="3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B804-4DFE-43DE-9E20-D0A6105A8D29}">
  <sheetPr>
    <tabColor rgb="FF00B050"/>
  </sheetPr>
  <dimension ref="A1:A81"/>
  <sheetViews>
    <sheetView workbookViewId="0">
      <selection activeCell="G4" sqref="G4"/>
    </sheetView>
  </sheetViews>
  <sheetFormatPr defaultRowHeight="15" x14ac:dyDescent="0.35"/>
  <cols>
    <col min="1" max="1" width="51.36328125" customWidth="1"/>
  </cols>
  <sheetData>
    <row r="1" spans="1:1" x14ac:dyDescent="0.35">
      <c r="A1" s="51" t="s">
        <v>1506</v>
      </c>
    </row>
    <row r="2" spans="1:1" x14ac:dyDescent="0.35">
      <c r="A2" s="52" t="s">
        <v>1507</v>
      </c>
    </row>
    <row r="3" spans="1:1" x14ac:dyDescent="0.35">
      <c r="A3" s="53"/>
    </row>
    <row r="4" spans="1:1" ht="60.6" customHeight="1" x14ac:dyDescent="0.35">
      <c r="A4" s="54" t="s">
        <v>1508</v>
      </c>
    </row>
    <row r="5" spans="1:1" x14ac:dyDescent="0.35">
      <c r="A5" s="101" t="s">
        <v>1509</v>
      </c>
    </row>
    <row r="6" spans="1:1" x14ac:dyDescent="0.35">
      <c r="A6" s="396" t="s">
        <v>1510</v>
      </c>
    </row>
    <row r="7" spans="1:1" x14ac:dyDescent="0.35">
      <c r="A7" s="404" t="s">
        <v>1511</v>
      </c>
    </row>
    <row r="8" spans="1:1" x14ac:dyDescent="0.35">
      <c r="A8" s="57" t="s">
        <v>1512</v>
      </c>
    </row>
    <row r="9" spans="1:1" x14ac:dyDescent="0.35">
      <c r="A9" s="57" t="s">
        <v>1513</v>
      </c>
    </row>
    <row r="10" spans="1:1" x14ac:dyDescent="0.35">
      <c r="A10" s="56"/>
    </row>
    <row r="11" spans="1:1" x14ac:dyDescent="0.35">
      <c r="A11" s="51" t="s">
        <v>1514</v>
      </c>
    </row>
    <row r="12" spans="1:1" x14ac:dyDescent="0.35">
      <c r="A12" s="62" t="s">
        <v>1515</v>
      </c>
    </row>
    <row r="13" spans="1:1" x14ac:dyDescent="0.35">
      <c r="A13" s="53"/>
    </row>
    <row r="14" spans="1:1" ht="61.95" customHeight="1" x14ac:dyDescent="0.35">
      <c r="A14" s="54" t="s">
        <v>1516</v>
      </c>
    </row>
    <row r="15" spans="1:1" x14ac:dyDescent="0.35">
      <c r="A15" s="55"/>
    </row>
    <row r="16" spans="1:1" x14ac:dyDescent="0.35">
      <c r="A16" s="100" t="s">
        <v>1517</v>
      </c>
    </row>
    <row r="17" spans="1:1" x14ac:dyDescent="0.35">
      <c r="A17" t="s">
        <v>1518</v>
      </c>
    </row>
    <row r="18" spans="1:1" x14ac:dyDescent="0.35">
      <c r="A18" t="s">
        <v>1519</v>
      </c>
    </row>
    <row r="22" spans="1:1" ht="45" x14ac:dyDescent="0.35">
      <c r="A22" s="50" t="s">
        <v>1520</v>
      </c>
    </row>
    <row r="23" spans="1:1" ht="45" x14ac:dyDescent="0.35">
      <c r="A23" s="50" t="s">
        <v>1521</v>
      </c>
    </row>
    <row r="24" spans="1:1" s="61" customFormat="1" x14ac:dyDescent="0.35"/>
    <row r="25" spans="1:1" x14ac:dyDescent="0.35">
      <c r="A25" t="s">
        <v>1522</v>
      </c>
    </row>
    <row r="26" spans="1:1" x14ac:dyDescent="0.35">
      <c r="A26" t="s">
        <v>1523</v>
      </c>
    </row>
    <row r="27" spans="1:1" x14ac:dyDescent="0.35">
      <c r="A27" t="s">
        <v>1257</v>
      </c>
    </row>
    <row r="28" spans="1:1" x14ac:dyDescent="0.35">
      <c r="A28" t="s">
        <v>1524</v>
      </c>
    </row>
    <row r="29" spans="1:1" x14ac:dyDescent="0.35">
      <c r="A29" t="s">
        <v>1525</v>
      </c>
    </row>
    <row r="30" spans="1:1" x14ac:dyDescent="0.35">
      <c r="A30" t="s">
        <v>1526</v>
      </c>
    </row>
    <row r="33" spans="1:1" x14ac:dyDescent="0.35">
      <c r="A33" t="s">
        <v>1527</v>
      </c>
    </row>
    <row r="34" spans="1:1" x14ac:dyDescent="0.35">
      <c r="A34" t="s">
        <v>1528</v>
      </c>
    </row>
    <row r="35" spans="1:1" x14ac:dyDescent="0.35">
      <c r="A35" t="s">
        <v>1270</v>
      </c>
    </row>
    <row r="38" spans="1:1" x14ac:dyDescent="0.35">
      <c r="A38" t="s">
        <v>1529</v>
      </c>
    </row>
    <row r="39" spans="1:1" x14ac:dyDescent="0.35">
      <c r="A39" t="s">
        <v>1530</v>
      </c>
    </row>
    <row r="40" spans="1:1" x14ac:dyDescent="0.35">
      <c r="A40" t="s">
        <v>1257</v>
      </c>
    </row>
    <row r="41" spans="1:1" s="61" customFormat="1" x14ac:dyDescent="0.35"/>
    <row r="43" spans="1:1" x14ac:dyDescent="0.35">
      <c r="A43" t="s">
        <v>1531</v>
      </c>
    </row>
    <row r="44" spans="1:1" x14ac:dyDescent="0.35">
      <c r="A44" t="s">
        <v>1532</v>
      </c>
    </row>
    <row r="45" spans="1:1" x14ac:dyDescent="0.35">
      <c r="A45" t="s">
        <v>1533</v>
      </c>
    </row>
    <row r="47" spans="1:1" s="61" customFormat="1" x14ac:dyDescent="0.35"/>
    <row r="48" spans="1:1" x14ac:dyDescent="0.35">
      <c r="A48" t="s">
        <v>1534</v>
      </c>
    </row>
    <row r="49" spans="1:1" x14ac:dyDescent="0.35">
      <c r="A49" t="s">
        <v>1535</v>
      </c>
    </row>
    <row r="51" spans="1:1" s="97" customFormat="1" x14ac:dyDescent="0.35"/>
    <row r="52" spans="1:1" x14ac:dyDescent="0.35">
      <c r="A52" t="s">
        <v>1536</v>
      </c>
    </row>
    <row r="53" spans="1:1" x14ac:dyDescent="0.35">
      <c r="A53" t="s">
        <v>1537</v>
      </c>
    </row>
    <row r="54" spans="1:1" x14ac:dyDescent="0.35">
      <c r="A54" t="s">
        <v>1538</v>
      </c>
    </row>
    <row r="55" spans="1:1" x14ac:dyDescent="0.35">
      <c r="A55" t="s">
        <v>1539</v>
      </c>
    </row>
    <row r="57" spans="1:1" x14ac:dyDescent="0.35">
      <c r="A57" t="s">
        <v>1540</v>
      </c>
    </row>
    <row r="58" spans="1:1" x14ac:dyDescent="0.35">
      <c r="A58" t="s">
        <v>1541</v>
      </c>
    </row>
    <row r="59" spans="1:1" x14ac:dyDescent="0.35">
      <c r="A59" t="s">
        <v>1542</v>
      </c>
    </row>
    <row r="61" spans="1:1" x14ac:dyDescent="0.35">
      <c r="A61" t="s">
        <v>1543</v>
      </c>
    </row>
    <row r="62" spans="1:1" x14ac:dyDescent="0.35">
      <c r="A62" t="s">
        <v>1544</v>
      </c>
    </row>
    <row r="63" spans="1:1" x14ac:dyDescent="0.35">
      <c r="A63" t="s">
        <v>1545</v>
      </c>
    </row>
    <row r="64" spans="1:1" x14ac:dyDescent="0.35">
      <c r="A64" s="38"/>
    </row>
    <row r="66" spans="1:1" x14ac:dyDescent="0.35">
      <c r="A66" t="s">
        <v>1546</v>
      </c>
    </row>
    <row r="67" spans="1:1" x14ac:dyDescent="0.35">
      <c r="A67" s="238" t="s">
        <v>1547</v>
      </c>
    </row>
    <row r="68" spans="1:1" x14ac:dyDescent="0.35">
      <c r="A68" s="12">
        <v>724098275</v>
      </c>
    </row>
    <row r="69" spans="1:1" x14ac:dyDescent="0.35">
      <c r="A69" t="s">
        <v>1548</v>
      </c>
    </row>
    <row r="70" spans="1:1" x14ac:dyDescent="0.35">
      <c r="A70" s="38"/>
    </row>
    <row r="71" spans="1:1" x14ac:dyDescent="0.35">
      <c r="A71" t="s">
        <v>1549</v>
      </c>
    </row>
    <row r="72" spans="1:1" x14ac:dyDescent="0.35">
      <c r="A72" s="327" t="s">
        <v>1550</v>
      </c>
    </row>
    <row r="73" spans="1:1" x14ac:dyDescent="0.35">
      <c r="A73" t="s">
        <v>1270</v>
      </c>
    </row>
    <row r="74" spans="1:1" x14ac:dyDescent="0.35">
      <c r="A74" s="38"/>
    </row>
    <row r="75" spans="1:1" x14ac:dyDescent="0.35">
      <c r="A75" t="s">
        <v>1551</v>
      </c>
    </row>
    <row r="78" spans="1:1" x14ac:dyDescent="0.35">
      <c r="A78" s="38"/>
    </row>
    <row r="79" spans="1:1" x14ac:dyDescent="0.35">
      <c r="A79" s="327" t="s">
        <v>1552</v>
      </c>
    </row>
    <row r="80" spans="1:1" x14ac:dyDescent="0.35">
      <c r="A80" s="327" t="s">
        <v>1317</v>
      </c>
    </row>
    <row r="81" spans="1:1" x14ac:dyDescent="0.35">
      <c r="A81" t="s">
        <v>1553</v>
      </c>
    </row>
  </sheetData>
  <hyperlinks>
    <hyperlink ref="A2" r:id="rId1" display="https://cliente.hostgator.com.br/sites" xr:uid="{32878AC3-0CB3-42A9-B756-63C3D3005064}"/>
    <hyperlink ref="A6" r:id="rId2" xr:uid="{ABC0AD73-2B49-4AB4-94D0-79CDDD7968D3}"/>
    <hyperlink ref="A67" r:id="rId3" xr:uid="{91FB6C1E-FBF7-458A-BF45-9E0623F6CD20}"/>
    <hyperlink ref="A72" r:id="rId4" xr:uid="{CB8593A7-BEFC-43FB-BB50-C54EBB98447F}"/>
    <hyperlink ref="A79" r:id="rId5" display="https://www.normas.com.br/" xr:uid="{836A7FBA-C75E-4DB6-99BF-61F82407E8A6}"/>
    <hyperlink ref="A80" r:id="rId6" xr:uid="{A7C92A3C-F686-4DB1-8EDA-2BB3B25EF69E}"/>
    <hyperlink ref="A7" r:id="rId7" xr:uid="{47CC5CD8-9F0E-44C1-9FAA-AE1E5AF6D24E}"/>
  </hyperlink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1AAB-7C91-4589-8A73-9C6303DC132C}">
  <sheetPr>
    <tabColor rgb="FF00B050"/>
  </sheetPr>
  <dimension ref="A1:F180"/>
  <sheetViews>
    <sheetView topLeftCell="A130" workbookViewId="0">
      <selection activeCell="H156" sqref="H156"/>
    </sheetView>
  </sheetViews>
  <sheetFormatPr defaultColWidth="7.08984375" defaultRowHeight="11.4" x14ac:dyDescent="0.35"/>
  <cols>
    <col min="1" max="1" width="15.453125" style="103" bestFit="1" customWidth="1"/>
    <col min="2" max="2" width="35.453125" style="108" bestFit="1" customWidth="1"/>
    <col min="3" max="3" width="14.90625" style="230" hidden="1" customWidth="1"/>
    <col min="4" max="5" width="12.1796875" style="108" customWidth="1"/>
    <col min="6" max="6" width="12.90625" style="108" bestFit="1" customWidth="1"/>
    <col min="7" max="16384" width="7.08984375" style="108"/>
  </cols>
  <sheetData>
    <row r="1" spans="1:6" s="103" customFormat="1" ht="23.25" customHeight="1" x14ac:dyDescent="0.35">
      <c r="A1" s="455" t="s">
        <v>1554</v>
      </c>
      <c r="B1" s="456"/>
      <c r="C1" s="456"/>
      <c r="D1" s="456"/>
      <c r="E1" s="456"/>
      <c r="F1" s="456"/>
    </row>
    <row r="2" spans="1:6" s="103" customFormat="1" ht="24" customHeight="1" x14ac:dyDescent="0.35">
      <c r="A2" s="104"/>
      <c r="B2" s="104"/>
      <c r="C2" s="104"/>
      <c r="D2" s="105"/>
      <c r="E2" s="105"/>
      <c r="F2" s="105"/>
    </row>
    <row r="3" spans="1:6" ht="23.4" customHeight="1" thickBot="1" x14ac:dyDescent="0.4">
      <c r="A3" s="106" t="s">
        <v>1555</v>
      </c>
      <c r="B3" s="106" t="s">
        <v>1556</v>
      </c>
      <c r="C3" s="106" t="s">
        <v>1557</v>
      </c>
      <c r="D3" s="106" t="s">
        <v>1558</v>
      </c>
      <c r="E3" s="107" t="s">
        <v>1559</v>
      </c>
      <c r="F3" s="107" t="s">
        <v>1560</v>
      </c>
    </row>
    <row r="4" spans="1:6" ht="14.1" customHeight="1" x14ac:dyDescent="0.35">
      <c r="A4" s="109" t="s">
        <v>1561</v>
      </c>
      <c r="B4" s="110" t="s">
        <v>1562</v>
      </c>
      <c r="C4" s="111" t="s">
        <v>1563</v>
      </c>
      <c r="D4" s="112" t="s">
        <v>1563</v>
      </c>
      <c r="E4" s="113"/>
      <c r="F4" s="113"/>
    </row>
    <row r="5" spans="1:6" ht="14.1" customHeight="1" x14ac:dyDescent="0.35">
      <c r="A5" s="114" t="s">
        <v>1561</v>
      </c>
      <c r="B5" s="115" t="s">
        <v>1564</v>
      </c>
      <c r="C5" s="116" t="s">
        <v>1563</v>
      </c>
      <c r="D5" s="117" t="s">
        <v>1563</v>
      </c>
      <c r="E5" s="117" t="s">
        <v>1563</v>
      </c>
      <c r="F5" s="117" t="s">
        <v>1563</v>
      </c>
    </row>
    <row r="6" spans="1:6" ht="14.1" customHeight="1" x14ac:dyDescent="0.35">
      <c r="A6" s="114" t="s">
        <v>1561</v>
      </c>
      <c r="B6" s="115" t="s">
        <v>1565</v>
      </c>
      <c r="C6" s="118" t="s">
        <v>1563</v>
      </c>
      <c r="D6" s="117" t="s">
        <v>1563</v>
      </c>
      <c r="E6" s="119"/>
      <c r="F6" s="117" t="s">
        <v>1563</v>
      </c>
    </row>
    <row r="7" spans="1:6" ht="14.1" customHeight="1" x14ac:dyDescent="0.35">
      <c r="A7" s="114" t="s">
        <v>1561</v>
      </c>
      <c r="B7" s="115" t="s">
        <v>1566</v>
      </c>
      <c r="C7" s="118" t="s">
        <v>1563</v>
      </c>
      <c r="D7" s="117" t="s">
        <v>1563</v>
      </c>
      <c r="E7" s="119"/>
      <c r="F7" s="119"/>
    </row>
    <row r="8" spans="1:6" ht="14.1" customHeight="1" x14ac:dyDescent="0.35">
      <c r="A8" s="114" t="s">
        <v>1561</v>
      </c>
      <c r="B8" s="115" t="s">
        <v>1567</v>
      </c>
      <c r="C8" s="118" t="s">
        <v>1563</v>
      </c>
      <c r="D8" s="117" t="s">
        <v>1563</v>
      </c>
      <c r="E8" s="119"/>
      <c r="F8" s="119"/>
    </row>
    <row r="9" spans="1:6" ht="14.1" customHeight="1" x14ac:dyDescent="0.35">
      <c r="A9" s="114" t="s">
        <v>1561</v>
      </c>
      <c r="B9" s="115" t="s">
        <v>1568</v>
      </c>
      <c r="C9" s="118" t="s">
        <v>1563</v>
      </c>
      <c r="D9" s="117" t="s">
        <v>1563</v>
      </c>
      <c r="E9" s="117" t="s">
        <v>1563</v>
      </c>
      <c r="F9" s="117" t="s">
        <v>1563</v>
      </c>
    </row>
    <row r="10" spans="1:6" ht="14.1" customHeight="1" x14ac:dyDescent="0.35">
      <c r="A10" s="114" t="s">
        <v>1561</v>
      </c>
      <c r="B10" s="115" t="s">
        <v>1569</v>
      </c>
      <c r="C10" s="118" t="s">
        <v>1563</v>
      </c>
      <c r="D10" s="117" t="s">
        <v>1563</v>
      </c>
      <c r="E10" s="119"/>
      <c r="F10" s="119"/>
    </row>
    <row r="11" spans="1:6" ht="14.1" customHeight="1" x14ac:dyDescent="0.35">
      <c r="A11" s="114" t="s">
        <v>1561</v>
      </c>
      <c r="B11" s="115" t="s">
        <v>1570</v>
      </c>
      <c r="C11" s="118" t="s">
        <v>1563</v>
      </c>
      <c r="D11" s="117" t="s">
        <v>1563</v>
      </c>
      <c r="E11" s="119"/>
      <c r="F11" s="119"/>
    </row>
    <row r="12" spans="1:6" ht="14.1" customHeight="1" x14ac:dyDescent="0.35">
      <c r="A12" s="114" t="s">
        <v>1561</v>
      </c>
      <c r="B12" s="115" t="s">
        <v>1571</v>
      </c>
      <c r="C12" s="120" t="s">
        <v>1563</v>
      </c>
      <c r="D12" s="117" t="s">
        <v>1563</v>
      </c>
      <c r="E12" s="119"/>
      <c r="F12" s="119"/>
    </row>
    <row r="13" spans="1:6" ht="14.1" customHeight="1" x14ac:dyDescent="0.35">
      <c r="A13" s="114" t="s">
        <v>1561</v>
      </c>
      <c r="B13" s="115" t="s">
        <v>1572</v>
      </c>
      <c r="C13" s="118" t="s">
        <v>1563</v>
      </c>
      <c r="D13" s="117" t="s">
        <v>1563</v>
      </c>
      <c r="E13" s="119"/>
      <c r="F13" s="119"/>
    </row>
    <row r="14" spans="1:6" ht="14.1" customHeight="1" x14ac:dyDescent="0.35">
      <c r="A14" s="114" t="s">
        <v>1561</v>
      </c>
      <c r="B14" s="115" t="s">
        <v>1573</v>
      </c>
      <c r="C14" s="118" t="s">
        <v>1563</v>
      </c>
      <c r="D14" s="117" t="s">
        <v>1563</v>
      </c>
      <c r="E14" s="119"/>
      <c r="F14" s="119"/>
    </row>
    <row r="15" spans="1:6" ht="14.1" customHeight="1" x14ac:dyDescent="0.35">
      <c r="A15" s="114" t="s">
        <v>1561</v>
      </c>
      <c r="B15" s="115" t="s">
        <v>1574</v>
      </c>
      <c r="C15" s="118" t="s">
        <v>1563</v>
      </c>
      <c r="D15" s="117" t="s">
        <v>1563</v>
      </c>
      <c r="E15" s="119"/>
      <c r="F15" s="119"/>
    </row>
    <row r="16" spans="1:6" ht="14.1" customHeight="1" x14ac:dyDescent="0.35">
      <c r="A16" s="114" t="s">
        <v>1561</v>
      </c>
      <c r="B16" s="115" t="s">
        <v>1575</v>
      </c>
      <c r="C16" s="118" t="s">
        <v>1563</v>
      </c>
      <c r="D16" s="117" t="s">
        <v>1563</v>
      </c>
      <c r="E16" s="119"/>
      <c r="F16" s="119"/>
    </row>
    <row r="17" spans="1:6" ht="14.1" customHeight="1" x14ac:dyDescent="0.35">
      <c r="A17" s="114" t="s">
        <v>1561</v>
      </c>
      <c r="B17" s="115" t="s">
        <v>1576</v>
      </c>
      <c r="C17" s="118"/>
      <c r="D17" s="117" t="s">
        <v>1563</v>
      </c>
      <c r="E17" s="119"/>
      <c r="F17" s="119"/>
    </row>
    <row r="18" spans="1:6" ht="14.1" customHeight="1" x14ac:dyDescent="0.35">
      <c r="A18" s="114" t="s">
        <v>1561</v>
      </c>
      <c r="B18" s="121" t="s">
        <v>1577</v>
      </c>
      <c r="C18" s="122"/>
      <c r="D18" s="123" t="s">
        <v>1563</v>
      </c>
      <c r="E18" s="124"/>
      <c r="F18" s="124"/>
    </row>
    <row r="19" spans="1:6" ht="14.1" customHeight="1" x14ac:dyDescent="0.35">
      <c r="A19" s="114" t="s">
        <v>1561</v>
      </c>
      <c r="B19" s="115" t="s">
        <v>1578</v>
      </c>
      <c r="C19" s="118"/>
      <c r="D19" s="117" t="s">
        <v>1563</v>
      </c>
      <c r="E19" s="119"/>
      <c r="F19" s="119"/>
    </row>
    <row r="20" spans="1:6" ht="14.1" customHeight="1" x14ac:dyDescent="0.35">
      <c r="A20" s="114" t="s">
        <v>1561</v>
      </c>
      <c r="B20" s="115" t="s">
        <v>1579</v>
      </c>
      <c r="C20" s="118" t="s">
        <v>1563</v>
      </c>
      <c r="D20" s="117" t="s">
        <v>1563</v>
      </c>
      <c r="E20" s="117"/>
      <c r="F20" s="117"/>
    </row>
    <row r="21" spans="1:6" ht="14.1" customHeight="1" x14ac:dyDescent="0.35">
      <c r="A21" s="114" t="s">
        <v>1561</v>
      </c>
      <c r="B21" s="115" t="s">
        <v>1580</v>
      </c>
      <c r="C21" s="118" t="s">
        <v>1563</v>
      </c>
      <c r="D21" s="117" t="s">
        <v>1563</v>
      </c>
      <c r="E21" s="119"/>
      <c r="F21" s="119"/>
    </row>
    <row r="22" spans="1:6" ht="14.1" customHeight="1" x14ac:dyDescent="0.35">
      <c r="A22" s="114" t="s">
        <v>1561</v>
      </c>
      <c r="B22" s="115" t="s">
        <v>1581</v>
      </c>
      <c r="C22" s="118"/>
      <c r="D22" s="117" t="s">
        <v>1563</v>
      </c>
      <c r="E22" s="119"/>
      <c r="F22" s="119"/>
    </row>
    <row r="23" spans="1:6" ht="14.1" customHeight="1" x14ac:dyDescent="0.35">
      <c r="A23" s="114" t="s">
        <v>1561</v>
      </c>
      <c r="B23" s="115" t="s">
        <v>1582</v>
      </c>
      <c r="C23" s="118"/>
      <c r="D23" s="117" t="s">
        <v>1563</v>
      </c>
      <c r="E23" s="117" t="s">
        <v>1563</v>
      </c>
      <c r="F23" s="117" t="s">
        <v>1563</v>
      </c>
    </row>
    <row r="24" spans="1:6" ht="14.1" customHeight="1" x14ac:dyDescent="0.35">
      <c r="A24" s="114" t="s">
        <v>1561</v>
      </c>
      <c r="B24" s="115" t="s">
        <v>1583</v>
      </c>
      <c r="C24" s="118" t="s">
        <v>1563</v>
      </c>
      <c r="D24" s="117" t="s">
        <v>1563</v>
      </c>
      <c r="E24" s="119"/>
      <c r="F24" s="119"/>
    </row>
    <row r="25" spans="1:6" ht="14.1" customHeight="1" x14ac:dyDescent="0.35">
      <c r="A25" s="114" t="s">
        <v>1561</v>
      </c>
      <c r="B25" s="115" t="s">
        <v>1584</v>
      </c>
      <c r="C25" s="118" t="s">
        <v>1563</v>
      </c>
      <c r="D25" s="117" t="s">
        <v>1563</v>
      </c>
      <c r="E25" s="117" t="s">
        <v>1563</v>
      </c>
      <c r="F25" s="117" t="s">
        <v>1563</v>
      </c>
    </row>
    <row r="26" spans="1:6" ht="14.1" customHeight="1" x14ac:dyDescent="0.35">
      <c r="A26" s="114" t="s">
        <v>1561</v>
      </c>
      <c r="B26" s="115" t="s">
        <v>1585</v>
      </c>
      <c r="C26" s="118" t="s">
        <v>1563</v>
      </c>
      <c r="D26" s="117" t="s">
        <v>1563</v>
      </c>
      <c r="E26" s="119"/>
      <c r="F26" s="119"/>
    </row>
    <row r="27" spans="1:6" ht="14.1" customHeight="1" x14ac:dyDescent="0.35">
      <c r="A27" s="114" t="s">
        <v>1561</v>
      </c>
      <c r="B27" s="115" t="s">
        <v>1586</v>
      </c>
      <c r="C27" s="118" t="s">
        <v>1563</v>
      </c>
      <c r="D27" s="117" t="s">
        <v>1563</v>
      </c>
      <c r="E27" s="119"/>
      <c r="F27" s="119"/>
    </row>
    <row r="28" spans="1:6" ht="14.1" customHeight="1" x14ac:dyDescent="0.35">
      <c r="A28" s="114" t="s">
        <v>1561</v>
      </c>
      <c r="B28" s="115" t="s">
        <v>1587</v>
      </c>
      <c r="C28" s="118"/>
      <c r="D28" s="117" t="s">
        <v>1563</v>
      </c>
      <c r="E28" s="119"/>
      <c r="F28" s="119"/>
    </row>
    <row r="29" spans="1:6" ht="14.1" customHeight="1" x14ac:dyDescent="0.35">
      <c r="A29" s="114" t="s">
        <v>1561</v>
      </c>
      <c r="B29" s="115" t="s">
        <v>1588</v>
      </c>
      <c r="C29" s="118"/>
      <c r="D29" s="117" t="s">
        <v>1563</v>
      </c>
      <c r="E29" s="117" t="s">
        <v>1563</v>
      </c>
      <c r="F29" s="117" t="s">
        <v>1563</v>
      </c>
    </row>
    <row r="30" spans="1:6" ht="14.1" customHeight="1" x14ac:dyDescent="0.35">
      <c r="A30" s="125" t="s">
        <v>1589</v>
      </c>
      <c r="B30" s="126" t="s">
        <v>1590</v>
      </c>
      <c r="C30" s="127" t="s">
        <v>1563</v>
      </c>
      <c r="D30" s="128" t="s">
        <v>1563</v>
      </c>
      <c r="E30" s="129"/>
      <c r="F30" s="128" t="s">
        <v>1563</v>
      </c>
    </row>
    <row r="31" spans="1:6" ht="14.1" customHeight="1" x14ac:dyDescent="0.35">
      <c r="A31" s="125" t="s">
        <v>1589</v>
      </c>
      <c r="B31" s="126" t="s">
        <v>1591</v>
      </c>
      <c r="C31" s="127" t="s">
        <v>1563</v>
      </c>
      <c r="D31" s="128" t="s">
        <v>1563</v>
      </c>
      <c r="E31" s="129"/>
      <c r="F31" s="128" t="s">
        <v>1563</v>
      </c>
    </row>
    <row r="32" spans="1:6" ht="14.1" customHeight="1" x14ac:dyDescent="0.35">
      <c r="A32" s="125" t="s">
        <v>1589</v>
      </c>
      <c r="B32" s="126" t="s">
        <v>1592</v>
      </c>
      <c r="C32" s="127" t="s">
        <v>1563</v>
      </c>
      <c r="D32" s="128" t="s">
        <v>1563</v>
      </c>
      <c r="E32" s="129"/>
      <c r="F32" s="128" t="s">
        <v>1563</v>
      </c>
    </row>
    <row r="33" spans="1:6" ht="14.1" customHeight="1" x14ac:dyDescent="0.35">
      <c r="A33" s="125" t="s">
        <v>1589</v>
      </c>
      <c r="B33" s="126" t="s">
        <v>1593</v>
      </c>
      <c r="C33" s="127" t="s">
        <v>1563</v>
      </c>
      <c r="D33" s="128" t="s">
        <v>1563</v>
      </c>
      <c r="E33" s="129"/>
      <c r="F33" s="128" t="s">
        <v>1563</v>
      </c>
    </row>
    <row r="34" spans="1:6" ht="14.1" customHeight="1" x14ac:dyDescent="0.35">
      <c r="A34" s="125" t="s">
        <v>1589</v>
      </c>
      <c r="B34" s="126" t="s">
        <v>1594</v>
      </c>
      <c r="C34" s="127" t="s">
        <v>1563</v>
      </c>
      <c r="D34" s="128" t="s">
        <v>1563</v>
      </c>
      <c r="E34" s="129"/>
      <c r="F34" s="128" t="s">
        <v>1563</v>
      </c>
    </row>
    <row r="35" spans="1:6" ht="14.1" customHeight="1" x14ac:dyDescent="0.35">
      <c r="A35" s="125" t="s">
        <v>1589</v>
      </c>
      <c r="B35" s="126" t="s">
        <v>1595</v>
      </c>
      <c r="C35" s="127" t="s">
        <v>1563</v>
      </c>
      <c r="D35" s="128" t="s">
        <v>1563</v>
      </c>
      <c r="E35" s="129"/>
      <c r="F35" s="128" t="s">
        <v>1563</v>
      </c>
    </row>
    <row r="36" spans="1:6" ht="14.1" customHeight="1" x14ac:dyDescent="0.35">
      <c r="A36" s="125" t="s">
        <v>1589</v>
      </c>
      <c r="B36" s="126" t="s">
        <v>1596</v>
      </c>
      <c r="C36" s="127" t="s">
        <v>1563</v>
      </c>
      <c r="D36" s="128" t="s">
        <v>1563</v>
      </c>
      <c r="E36" s="129"/>
      <c r="F36" s="128" t="s">
        <v>1563</v>
      </c>
    </row>
    <row r="37" spans="1:6" ht="14.1" customHeight="1" x14ac:dyDescent="0.35">
      <c r="A37" s="125" t="s">
        <v>1589</v>
      </c>
      <c r="B37" s="126" t="s">
        <v>1597</v>
      </c>
      <c r="C37" s="127" t="s">
        <v>1563</v>
      </c>
      <c r="D37" s="128" t="s">
        <v>1563</v>
      </c>
      <c r="E37" s="129"/>
      <c r="F37" s="128" t="s">
        <v>1563</v>
      </c>
    </row>
    <row r="38" spans="1:6" ht="14.1" customHeight="1" x14ac:dyDescent="0.35">
      <c r="A38" s="125" t="s">
        <v>1589</v>
      </c>
      <c r="B38" s="126" t="s">
        <v>1598</v>
      </c>
      <c r="C38" s="127" t="s">
        <v>1563</v>
      </c>
      <c r="D38" s="128" t="s">
        <v>1563</v>
      </c>
      <c r="E38" s="129"/>
      <c r="F38" s="128" t="s">
        <v>1563</v>
      </c>
    </row>
    <row r="39" spans="1:6" ht="14.1" customHeight="1" x14ac:dyDescent="0.35">
      <c r="A39" s="125" t="s">
        <v>1589</v>
      </c>
      <c r="B39" s="126" t="s">
        <v>1599</v>
      </c>
      <c r="C39" s="127" t="s">
        <v>1563</v>
      </c>
      <c r="D39" s="128" t="s">
        <v>1563</v>
      </c>
      <c r="E39" s="128" t="s">
        <v>1563</v>
      </c>
      <c r="F39" s="128" t="s">
        <v>1563</v>
      </c>
    </row>
    <row r="40" spans="1:6" ht="14.1" customHeight="1" x14ac:dyDescent="0.35">
      <c r="A40" s="125" t="s">
        <v>1589</v>
      </c>
      <c r="B40" s="126" t="s">
        <v>1600</v>
      </c>
      <c r="C40" s="127" t="s">
        <v>1563</v>
      </c>
      <c r="D40" s="128" t="s">
        <v>1563</v>
      </c>
      <c r="E40" s="129"/>
      <c r="F40" s="128" t="s">
        <v>1563</v>
      </c>
    </row>
    <row r="41" spans="1:6" ht="14.1" customHeight="1" x14ac:dyDescent="0.35">
      <c r="A41" s="125" t="s">
        <v>1589</v>
      </c>
      <c r="B41" s="126" t="s">
        <v>1601</v>
      </c>
      <c r="C41" s="127"/>
      <c r="D41" s="128" t="s">
        <v>1563</v>
      </c>
      <c r="E41" s="129"/>
      <c r="F41" s="128" t="s">
        <v>1563</v>
      </c>
    </row>
    <row r="42" spans="1:6" ht="14.1" customHeight="1" x14ac:dyDescent="0.35">
      <c r="A42" s="125" t="s">
        <v>1589</v>
      </c>
      <c r="B42" s="126" t="s">
        <v>1602</v>
      </c>
      <c r="C42" s="127" t="s">
        <v>1563</v>
      </c>
      <c r="D42" s="128" t="s">
        <v>1563</v>
      </c>
      <c r="E42" s="129"/>
      <c r="F42" s="128" t="s">
        <v>1563</v>
      </c>
    </row>
    <row r="43" spans="1:6" ht="14.1" customHeight="1" x14ac:dyDescent="0.35">
      <c r="A43" s="125" t="s">
        <v>1589</v>
      </c>
      <c r="B43" s="126" t="s">
        <v>1603</v>
      </c>
      <c r="C43" s="127" t="s">
        <v>1563</v>
      </c>
      <c r="D43" s="128" t="s">
        <v>1563</v>
      </c>
      <c r="E43" s="129"/>
      <c r="F43" s="129"/>
    </row>
    <row r="44" spans="1:6" ht="14.1" customHeight="1" x14ac:dyDescent="0.35">
      <c r="A44" s="125" t="s">
        <v>1589</v>
      </c>
      <c r="B44" s="126" t="s">
        <v>1604</v>
      </c>
      <c r="C44" s="127" t="s">
        <v>1563</v>
      </c>
      <c r="D44" s="128" t="s">
        <v>1563</v>
      </c>
      <c r="E44" s="129"/>
      <c r="F44" s="129"/>
    </row>
    <row r="45" spans="1:6" ht="14.1" customHeight="1" x14ac:dyDescent="0.35">
      <c r="A45" s="125" t="s">
        <v>1589</v>
      </c>
      <c r="B45" s="126" t="s">
        <v>1605</v>
      </c>
      <c r="C45" s="127" t="s">
        <v>1563</v>
      </c>
      <c r="D45" s="128" t="s">
        <v>1563</v>
      </c>
      <c r="E45" s="129"/>
      <c r="F45" s="128" t="s">
        <v>1563</v>
      </c>
    </row>
    <row r="46" spans="1:6" ht="14.1" customHeight="1" x14ac:dyDescent="0.35">
      <c r="A46" s="130" t="s">
        <v>1606</v>
      </c>
      <c r="B46" s="131" t="s">
        <v>1607</v>
      </c>
      <c r="C46" s="132" t="s">
        <v>1563</v>
      </c>
      <c r="D46" s="133" t="s">
        <v>1563</v>
      </c>
      <c r="E46" s="133" t="s">
        <v>1563</v>
      </c>
      <c r="F46" s="133" t="s">
        <v>1563</v>
      </c>
    </row>
    <row r="47" spans="1:6" ht="14.1" customHeight="1" x14ac:dyDescent="0.35">
      <c r="A47" s="130" t="s">
        <v>1606</v>
      </c>
      <c r="B47" s="131" t="s">
        <v>1608</v>
      </c>
      <c r="C47" s="132" t="s">
        <v>1563</v>
      </c>
      <c r="D47" s="133" t="s">
        <v>1563</v>
      </c>
      <c r="E47" s="133" t="s">
        <v>1563</v>
      </c>
      <c r="F47" s="133" t="s">
        <v>1563</v>
      </c>
    </row>
    <row r="48" spans="1:6" ht="14.1" customHeight="1" x14ac:dyDescent="0.35">
      <c r="A48" s="130" t="s">
        <v>1606</v>
      </c>
      <c r="B48" s="131" t="s">
        <v>1609</v>
      </c>
      <c r="C48" s="132"/>
      <c r="D48" s="133" t="s">
        <v>1563</v>
      </c>
      <c r="E48" s="134"/>
      <c r="F48" s="134"/>
    </row>
    <row r="49" spans="1:6" ht="14.1" customHeight="1" x14ac:dyDescent="0.35">
      <c r="A49" s="130" t="s">
        <v>1606</v>
      </c>
      <c r="B49" s="131" t="s">
        <v>1610</v>
      </c>
      <c r="C49" s="132"/>
      <c r="D49" s="133" t="s">
        <v>1563</v>
      </c>
      <c r="E49" s="134"/>
      <c r="F49" s="134"/>
    </row>
    <row r="50" spans="1:6" ht="14.1" customHeight="1" x14ac:dyDescent="0.35">
      <c r="A50" s="130" t="s">
        <v>1606</v>
      </c>
      <c r="B50" s="131" t="s">
        <v>1611</v>
      </c>
      <c r="C50" s="135" t="s">
        <v>1563</v>
      </c>
      <c r="D50" s="133" t="s">
        <v>1563</v>
      </c>
      <c r="E50" s="134"/>
      <c r="F50" s="133"/>
    </row>
    <row r="51" spans="1:6" ht="14.1" customHeight="1" x14ac:dyDescent="0.35">
      <c r="A51" s="130" t="s">
        <v>1606</v>
      </c>
      <c r="B51" s="131" t="s">
        <v>1612</v>
      </c>
      <c r="C51" s="135" t="s">
        <v>1563</v>
      </c>
      <c r="D51" s="133" t="s">
        <v>1563</v>
      </c>
      <c r="E51" s="134" t="s">
        <v>1613</v>
      </c>
      <c r="F51" s="134" t="s">
        <v>1613</v>
      </c>
    </row>
    <row r="52" spans="1:6" ht="14.1" customHeight="1" x14ac:dyDescent="0.35">
      <c r="A52" s="130" t="s">
        <v>1606</v>
      </c>
      <c r="B52" s="131" t="s">
        <v>1614</v>
      </c>
      <c r="C52" s="135" t="s">
        <v>1563</v>
      </c>
      <c r="D52" s="133" t="s">
        <v>1563</v>
      </c>
      <c r="E52" s="133" t="s">
        <v>1563</v>
      </c>
      <c r="F52" s="134" t="s">
        <v>1613</v>
      </c>
    </row>
    <row r="53" spans="1:6" ht="14.1" customHeight="1" x14ac:dyDescent="0.35">
      <c r="A53" s="130" t="s">
        <v>1606</v>
      </c>
      <c r="B53" s="131" t="s">
        <v>1615</v>
      </c>
      <c r="C53" s="132" t="s">
        <v>1563</v>
      </c>
      <c r="D53" s="133" t="s">
        <v>1563</v>
      </c>
      <c r="E53" s="133" t="s">
        <v>1563</v>
      </c>
      <c r="F53" s="133" t="s">
        <v>1563</v>
      </c>
    </row>
    <row r="54" spans="1:6" ht="14.1" customHeight="1" x14ac:dyDescent="0.35">
      <c r="A54" s="130" t="s">
        <v>1611</v>
      </c>
      <c r="B54" s="131" t="s">
        <v>1611</v>
      </c>
      <c r="C54" s="136" t="s">
        <v>1563</v>
      </c>
      <c r="D54" s="133" t="s">
        <v>1563</v>
      </c>
      <c r="E54" s="134"/>
      <c r="F54" s="134"/>
    </row>
    <row r="55" spans="1:6" ht="14.1" customHeight="1" x14ac:dyDescent="0.35">
      <c r="A55" s="130" t="s">
        <v>1611</v>
      </c>
      <c r="B55" s="131" t="s">
        <v>1616</v>
      </c>
      <c r="C55" s="136" t="s">
        <v>1563</v>
      </c>
      <c r="D55" s="133" t="s">
        <v>1563</v>
      </c>
      <c r="E55" s="134"/>
      <c r="F55" s="134"/>
    </row>
    <row r="56" spans="1:6" ht="14.1" customHeight="1" x14ac:dyDescent="0.35">
      <c r="A56" s="137" t="s">
        <v>1617</v>
      </c>
      <c r="B56" s="138" t="s">
        <v>1618</v>
      </c>
      <c r="C56" s="139"/>
      <c r="D56" s="140" t="s">
        <v>1563</v>
      </c>
      <c r="E56" s="140" t="s">
        <v>1563</v>
      </c>
      <c r="F56" s="141" t="s">
        <v>1613</v>
      </c>
    </row>
    <row r="57" spans="1:6" ht="14.1" customHeight="1" x14ac:dyDescent="0.35">
      <c r="A57" s="137" t="s">
        <v>1617</v>
      </c>
      <c r="B57" s="138" t="s">
        <v>1612</v>
      </c>
      <c r="C57" s="139" t="s">
        <v>1563</v>
      </c>
      <c r="D57" s="140" t="s">
        <v>1563</v>
      </c>
      <c r="E57" s="141" t="s">
        <v>1613</v>
      </c>
      <c r="F57" s="141" t="s">
        <v>1613</v>
      </c>
    </row>
    <row r="58" spans="1:6" ht="14.1" customHeight="1" x14ac:dyDescent="0.35">
      <c r="A58" s="137" t="s">
        <v>1617</v>
      </c>
      <c r="B58" s="138" t="s">
        <v>1614</v>
      </c>
      <c r="C58" s="139" t="s">
        <v>1563</v>
      </c>
      <c r="D58" s="140" t="s">
        <v>1563</v>
      </c>
      <c r="E58" s="140" t="s">
        <v>1563</v>
      </c>
      <c r="F58" s="141" t="s">
        <v>1613</v>
      </c>
    </row>
    <row r="59" spans="1:6" ht="14.1" customHeight="1" x14ac:dyDescent="0.35">
      <c r="A59" s="137" t="s">
        <v>1617</v>
      </c>
      <c r="B59" s="138" t="s">
        <v>1619</v>
      </c>
      <c r="C59" s="139" t="s">
        <v>1563</v>
      </c>
      <c r="D59" s="140" t="s">
        <v>1563</v>
      </c>
      <c r="E59" s="140" t="s">
        <v>1563</v>
      </c>
      <c r="F59" s="141" t="s">
        <v>1613</v>
      </c>
    </row>
    <row r="60" spans="1:6" ht="14.1" customHeight="1" x14ac:dyDescent="0.35">
      <c r="A60" s="137" t="s">
        <v>1617</v>
      </c>
      <c r="B60" s="138" t="s">
        <v>1620</v>
      </c>
      <c r="C60" s="139" t="s">
        <v>1563</v>
      </c>
      <c r="D60" s="140" t="s">
        <v>1563</v>
      </c>
      <c r="E60" s="140" t="s">
        <v>1563</v>
      </c>
      <c r="F60" s="141" t="s">
        <v>1613</v>
      </c>
    </row>
    <row r="61" spans="1:6" ht="14.1" customHeight="1" x14ac:dyDescent="0.35">
      <c r="A61" s="137" t="s">
        <v>1617</v>
      </c>
      <c r="B61" s="138" t="s">
        <v>1621</v>
      </c>
      <c r="C61" s="139" t="s">
        <v>1563</v>
      </c>
      <c r="D61" s="140" t="s">
        <v>1563</v>
      </c>
      <c r="E61" s="140" t="s">
        <v>1563</v>
      </c>
      <c r="F61" s="141" t="s">
        <v>1613</v>
      </c>
    </row>
    <row r="62" spans="1:6" ht="14.1" customHeight="1" x14ac:dyDescent="0.35">
      <c r="A62" s="137" t="s">
        <v>1617</v>
      </c>
      <c r="B62" s="138" t="s">
        <v>1622</v>
      </c>
      <c r="C62" s="139" t="s">
        <v>1563</v>
      </c>
      <c r="D62" s="140" t="s">
        <v>1563</v>
      </c>
      <c r="E62" s="140" t="s">
        <v>1563</v>
      </c>
      <c r="F62" s="141"/>
    </row>
    <row r="63" spans="1:6" ht="14.1" customHeight="1" x14ac:dyDescent="0.35">
      <c r="A63" s="137" t="s">
        <v>1617</v>
      </c>
      <c r="B63" s="138" t="s">
        <v>1623</v>
      </c>
      <c r="C63" s="139" t="s">
        <v>1563</v>
      </c>
      <c r="D63" s="140" t="s">
        <v>1563</v>
      </c>
      <c r="E63" s="140" t="s">
        <v>1563</v>
      </c>
      <c r="F63" s="141" t="s">
        <v>1613</v>
      </c>
    </row>
    <row r="64" spans="1:6" ht="14.1" customHeight="1" x14ac:dyDescent="0.35">
      <c r="A64" s="137" t="s">
        <v>1617</v>
      </c>
      <c r="B64" s="138" t="s">
        <v>1624</v>
      </c>
      <c r="C64" s="139" t="s">
        <v>1563</v>
      </c>
      <c r="D64" s="140" t="s">
        <v>1563</v>
      </c>
      <c r="E64" s="140" t="s">
        <v>1563</v>
      </c>
      <c r="F64" s="141" t="s">
        <v>1613</v>
      </c>
    </row>
    <row r="65" spans="1:6" ht="14.1" customHeight="1" x14ac:dyDescent="0.35">
      <c r="A65" s="137" t="s">
        <v>1617</v>
      </c>
      <c r="B65" s="138" t="s">
        <v>1625</v>
      </c>
      <c r="C65" s="139" t="s">
        <v>1563</v>
      </c>
      <c r="D65" s="140" t="s">
        <v>1563</v>
      </c>
      <c r="E65" s="140" t="s">
        <v>1563</v>
      </c>
      <c r="F65" s="141" t="s">
        <v>1613</v>
      </c>
    </row>
    <row r="66" spans="1:6" ht="14.1" customHeight="1" x14ac:dyDescent="0.35">
      <c r="A66" s="137" t="s">
        <v>1617</v>
      </c>
      <c r="B66" s="138" t="s">
        <v>1626</v>
      </c>
      <c r="C66" s="139" t="s">
        <v>1563</v>
      </c>
      <c r="D66" s="140" t="s">
        <v>1563</v>
      </c>
      <c r="E66" s="140" t="s">
        <v>1563</v>
      </c>
      <c r="F66" s="141" t="s">
        <v>1613</v>
      </c>
    </row>
    <row r="67" spans="1:6" ht="14.1" customHeight="1" x14ac:dyDescent="0.35">
      <c r="A67" s="137" t="s">
        <v>1617</v>
      </c>
      <c r="B67" s="138" t="s">
        <v>1627</v>
      </c>
      <c r="C67" s="139" t="s">
        <v>1563</v>
      </c>
      <c r="D67" s="140" t="s">
        <v>1563</v>
      </c>
      <c r="E67" s="140" t="s">
        <v>1563</v>
      </c>
      <c r="F67" s="141"/>
    </row>
    <row r="68" spans="1:6" ht="14.1" customHeight="1" x14ac:dyDescent="0.35">
      <c r="A68" s="137" t="s">
        <v>1617</v>
      </c>
      <c r="B68" s="142" t="s">
        <v>1628</v>
      </c>
      <c r="C68" s="143" t="s">
        <v>1563</v>
      </c>
      <c r="D68" s="140" t="s">
        <v>1563</v>
      </c>
      <c r="E68" s="140" t="s">
        <v>1563</v>
      </c>
      <c r="F68" s="140" t="s">
        <v>1563</v>
      </c>
    </row>
    <row r="69" spans="1:6" ht="14.1" customHeight="1" x14ac:dyDescent="0.35">
      <c r="A69" s="137" t="s">
        <v>1617</v>
      </c>
      <c r="B69" s="138" t="s">
        <v>1599</v>
      </c>
      <c r="C69" s="139" t="s">
        <v>1563</v>
      </c>
      <c r="D69" s="140" t="s">
        <v>1563</v>
      </c>
      <c r="E69" s="140" t="s">
        <v>1563</v>
      </c>
      <c r="F69" s="140" t="s">
        <v>1563</v>
      </c>
    </row>
    <row r="70" spans="1:6" ht="14.1" customHeight="1" x14ac:dyDescent="0.35">
      <c r="A70" s="137" t="s">
        <v>1617</v>
      </c>
      <c r="B70" s="138" t="s">
        <v>1629</v>
      </c>
      <c r="C70" s="139" t="s">
        <v>1563</v>
      </c>
      <c r="D70" s="140" t="s">
        <v>1563</v>
      </c>
      <c r="E70" s="141"/>
      <c r="F70" s="140" t="s">
        <v>1563</v>
      </c>
    </row>
    <row r="71" spans="1:6" ht="14.1" customHeight="1" x14ac:dyDescent="0.35">
      <c r="A71" s="137" t="s">
        <v>1617</v>
      </c>
      <c r="B71" s="138" t="s">
        <v>1630</v>
      </c>
      <c r="C71" s="139" t="s">
        <v>1563</v>
      </c>
      <c r="D71" s="140" t="s">
        <v>1563</v>
      </c>
      <c r="E71" s="140" t="s">
        <v>1563</v>
      </c>
      <c r="F71" s="141"/>
    </row>
    <row r="72" spans="1:6" ht="14.1" customHeight="1" x14ac:dyDescent="0.35">
      <c r="A72" s="144" t="s">
        <v>796</v>
      </c>
      <c r="B72" s="145" t="s">
        <v>1631</v>
      </c>
      <c r="C72" s="146"/>
      <c r="D72" s="147" t="s">
        <v>1563</v>
      </c>
      <c r="E72" s="147" t="s">
        <v>1563</v>
      </c>
      <c r="F72" s="147" t="s">
        <v>1563</v>
      </c>
    </row>
    <row r="73" spans="1:6" ht="14.1" customHeight="1" x14ac:dyDescent="0.35">
      <c r="A73" s="144" t="s">
        <v>796</v>
      </c>
      <c r="B73" s="145" t="s">
        <v>1632</v>
      </c>
      <c r="C73" s="146"/>
      <c r="D73" s="147" t="s">
        <v>1563</v>
      </c>
      <c r="E73" s="147" t="s">
        <v>1563</v>
      </c>
      <c r="F73" s="147" t="s">
        <v>1563</v>
      </c>
    </row>
    <row r="74" spans="1:6" ht="14.1" customHeight="1" x14ac:dyDescent="0.35">
      <c r="A74" s="144" t="s">
        <v>796</v>
      </c>
      <c r="B74" s="148" t="s">
        <v>1633</v>
      </c>
      <c r="C74" s="149"/>
      <c r="D74" s="147" t="s">
        <v>1563</v>
      </c>
      <c r="E74" s="147" t="s">
        <v>1563</v>
      </c>
      <c r="F74" s="150" t="s">
        <v>1613</v>
      </c>
    </row>
    <row r="75" spans="1:6" ht="14.1" customHeight="1" x14ac:dyDescent="0.35">
      <c r="A75" s="144" t="s">
        <v>796</v>
      </c>
      <c r="B75" s="151" t="s">
        <v>1634</v>
      </c>
      <c r="C75" s="146" t="s">
        <v>1563</v>
      </c>
      <c r="D75" s="147" t="s">
        <v>1563</v>
      </c>
      <c r="E75" s="147" t="s">
        <v>1563</v>
      </c>
      <c r="F75" s="152" t="s">
        <v>1613</v>
      </c>
    </row>
    <row r="76" spans="1:6" ht="14.1" customHeight="1" x14ac:dyDescent="0.35">
      <c r="A76" s="144" t="s">
        <v>796</v>
      </c>
      <c r="B76" s="151" t="s">
        <v>1635</v>
      </c>
      <c r="C76" s="146" t="s">
        <v>1563</v>
      </c>
      <c r="D76" s="147" t="s">
        <v>1563</v>
      </c>
      <c r="E76" s="147" t="s">
        <v>1563</v>
      </c>
      <c r="F76" s="152" t="s">
        <v>1613</v>
      </c>
    </row>
    <row r="77" spans="1:6" ht="14.1" customHeight="1" x14ac:dyDescent="0.35">
      <c r="A77" s="144" t="s">
        <v>796</v>
      </c>
      <c r="B77" s="151" t="s">
        <v>1636</v>
      </c>
      <c r="C77" s="146" t="s">
        <v>1563</v>
      </c>
      <c r="D77" s="147" t="s">
        <v>1563</v>
      </c>
      <c r="E77" s="147" t="s">
        <v>1563</v>
      </c>
      <c r="F77" s="152" t="s">
        <v>1613</v>
      </c>
    </row>
    <row r="78" spans="1:6" ht="14.1" customHeight="1" x14ac:dyDescent="0.35">
      <c r="A78" s="144" t="s">
        <v>796</v>
      </c>
      <c r="B78" s="151" t="s">
        <v>1637</v>
      </c>
      <c r="C78" s="146" t="s">
        <v>1563</v>
      </c>
      <c r="D78" s="147" t="s">
        <v>1563</v>
      </c>
      <c r="E78" s="147" t="s">
        <v>1563</v>
      </c>
      <c r="F78" s="152" t="s">
        <v>1613</v>
      </c>
    </row>
    <row r="79" spans="1:6" ht="14.1" customHeight="1" x14ac:dyDescent="0.35">
      <c r="A79" s="144" t="s">
        <v>796</v>
      </c>
      <c r="B79" s="151" t="s">
        <v>1638</v>
      </c>
      <c r="C79" s="146" t="s">
        <v>1563</v>
      </c>
      <c r="D79" s="147" t="s">
        <v>1563</v>
      </c>
      <c r="E79" s="152"/>
      <c r="F79" s="147" t="s">
        <v>1563</v>
      </c>
    </row>
    <row r="80" spans="1:6" ht="14.1" customHeight="1" x14ac:dyDescent="0.35">
      <c r="A80" s="144" t="s">
        <v>796</v>
      </c>
      <c r="B80" s="151" t="s">
        <v>1639</v>
      </c>
      <c r="C80" s="146" t="s">
        <v>1563</v>
      </c>
      <c r="D80" s="147" t="s">
        <v>1563</v>
      </c>
      <c r="E80" s="152"/>
      <c r="F80" s="147" t="s">
        <v>1563</v>
      </c>
    </row>
    <row r="81" spans="1:6" ht="14.1" customHeight="1" x14ac:dyDescent="0.35">
      <c r="A81" s="144" t="s">
        <v>796</v>
      </c>
      <c r="B81" s="151" t="s">
        <v>1640</v>
      </c>
      <c r="C81" s="146" t="s">
        <v>1563</v>
      </c>
      <c r="D81" s="147" t="s">
        <v>1563</v>
      </c>
      <c r="E81" s="152"/>
      <c r="F81" s="147" t="s">
        <v>1563</v>
      </c>
    </row>
    <row r="82" spans="1:6" ht="14.1" customHeight="1" x14ac:dyDescent="0.35">
      <c r="A82" s="144" t="s">
        <v>796</v>
      </c>
      <c r="B82" s="151" t="s">
        <v>1641</v>
      </c>
      <c r="C82" s="149" t="s">
        <v>1563</v>
      </c>
      <c r="D82" s="147" t="s">
        <v>1563</v>
      </c>
      <c r="E82" s="147" t="s">
        <v>1563</v>
      </c>
      <c r="F82" s="147" t="s">
        <v>1563</v>
      </c>
    </row>
    <row r="83" spans="1:6" ht="14.1" customHeight="1" x14ac:dyDescent="0.35">
      <c r="A83" s="144" t="s">
        <v>796</v>
      </c>
      <c r="B83" s="151" t="s">
        <v>1628</v>
      </c>
      <c r="C83" s="149" t="s">
        <v>1563</v>
      </c>
      <c r="D83" s="147" t="s">
        <v>1563</v>
      </c>
      <c r="E83" s="147" t="s">
        <v>1563</v>
      </c>
      <c r="F83" s="147" t="s">
        <v>1563</v>
      </c>
    </row>
    <row r="84" spans="1:6" ht="14.1" customHeight="1" x14ac:dyDescent="0.35">
      <c r="A84" s="144" t="s">
        <v>796</v>
      </c>
      <c r="B84" s="151" t="s">
        <v>1642</v>
      </c>
      <c r="C84" s="153" t="s">
        <v>1563</v>
      </c>
      <c r="D84" s="147" t="s">
        <v>1563</v>
      </c>
      <c r="E84" s="147" t="s">
        <v>1563</v>
      </c>
      <c r="F84" s="147" t="s">
        <v>1563</v>
      </c>
    </row>
    <row r="85" spans="1:6" ht="14.1" customHeight="1" x14ac:dyDescent="0.35">
      <c r="A85" s="144" t="s">
        <v>796</v>
      </c>
      <c r="B85" s="151" t="s">
        <v>1643</v>
      </c>
      <c r="C85" s="146" t="s">
        <v>1644</v>
      </c>
      <c r="D85" s="147" t="s">
        <v>1563</v>
      </c>
      <c r="E85" s="147" t="s">
        <v>1563</v>
      </c>
      <c r="F85" s="152"/>
    </row>
    <row r="86" spans="1:6" ht="14.1" customHeight="1" x14ac:dyDescent="0.35">
      <c r="A86" s="144" t="s">
        <v>796</v>
      </c>
      <c r="B86" s="151" t="s">
        <v>1645</v>
      </c>
      <c r="C86" s="153"/>
      <c r="D86" s="147" t="s">
        <v>1563</v>
      </c>
      <c r="E86" s="147" t="s">
        <v>1563</v>
      </c>
      <c r="F86" s="152"/>
    </row>
    <row r="87" spans="1:6" ht="14.1" customHeight="1" x14ac:dyDescent="0.35">
      <c r="A87" s="144" t="s">
        <v>796</v>
      </c>
      <c r="B87" s="145" t="s">
        <v>1599</v>
      </c>
      <c r="C87" s="146" t="s">
        <v>1563</v>
      </c>
      <c r="D87" s="147" t="s">
        <v>1563</v>
      </c>
      <c r="E87" s="147" t="s">
        <v>1563</v>
      </c>
      <c r="F87" s="147" t="s">
        <v>1563</v>
      </c>
    </row>
    <row r="88" spans="1:6" ht="14.1" customHeight="1" x14ac:dyDescent="0.35">
      <c r="A88" s="144" t="s">
        <v>796</v>
      </c>
      <c r="B88" s="151" t="s">
        <v>1646</v>
      </c>
      <c r="C88" s="146" t="s">
        <v>1563</v>
      </c>
      <c r="D88" s="147" t="s">
        <v>1563</v>
      </c>
      <c r="E88" s="147" t="s">
        <v>1563</v>
      </c>
      <c r="F88" s="152"/>
    </row>
    <row r="89" spans="1:6" ht="14.1" customHeight="1" x14ac:dyDescent="0.35">
      <c r="A89" s="130" t="s">
        <v>1647</v>
      </c>
      <c r="B89" s="131" t="s">
        <v>1648</v>
      </c>
      <c r="C89" s="154" t="s">
        <v>1563</v>
      </c>
      <c r="D89" s="133" t="s">
        <v>1563</v>
      </c>
      <c r="E89" s="133" t="s">
        <v>1563</v>
      </c>
      <c r="F89" s="133" t="s">
        <v>1563</v>
      </c>
    </row>
    <row r="90" spans="1:6" ht="14.1" customHeight="1" x14ac:dyDescent="0.35">
      <c r="A90" s="130" t="s">
        <v>1647</v>
      </c>
      <c r="B90" s="131" t="s">
        <v>1649</v>
      </c>
      <c r="C90" s="154" t="s">
        <v>1563</v>
      </c>
      <c r="D90" s="133" t="s">
        <v>1563</v>
      </c>
      <c r="E90" s="133" t="s">
        <v>1563</v>
      </c>
      <c r="F90" s="133" t="s">
        <v>1563</v>
      </c>
    </row>
    <row r="91" spans="1:6" ht="14.1" customHeight="1" x14ac:dyDescent="0.35">
      <c r="A91" s="130" t="s">
        <v>1647</v>
      </c>
      <c r="B91" s="131" t="s">
        <v>1650</v>
      </c>
      <c r="C91" s="154"/>
      <c r="D91" s="133" t="s">
        <v>1563</v>
      </c>
      <c r="E91" s="134" t="s">
        <v>1613</v>
      </c>
      <c r="F91" s="134" t="s">
        <v>1613</v>
      </c>
    </row>
    <row r="92" spans="1:6" ht="14.1" customHeight="1" x14ac:dyDescent="0.35">
      <c r="A92" s="130" t="s">
        <v>1647</v>
      </c>
      <c r="B92" s="131" t="s">
        <v>1651</v>
      </c>
      <c r="C92" s="154"/>
      <c r="D92" s="133" t="s">
        <v>1563</v>
      </c>
      <c r="E92" s="134"/>
      <c r="F92" s="134"/>
    </row>
    <row r="93" spans="1:6" ht="14.1" customHeight="1" x14ac:dyDescent="0.3">
      <c r="A93" s="130" t="s">
        <v>1647</v>
      </c>
      <c r="B93" s="155" t="s">
        <v>1652</v>
      </c>
      <c r="C93" s="154" t="s">
        <v>1563</v>
      </c>
      <c r="D93" s="133" t="s">
        <v>1563</v>
      </c>
      <c r="E93" s="134"/>
      <c r="F93" s="133" t="s">
        <v>1563</v>
      </c>
    </row>
    <row r="94" spans="1:6" ht="14.1" customHeight="1" x14ac:dyDescent="0.35">
      <c r="A94" s="130" t="s">
        <v>1647</v>
      </c>
      <c r="B94" s="131" t="s">
        <v>1653</v>
      </c>
      <c r="C94" s="154" t="s">
        <v>1563</v>
      </c>
      <c r="D94" s="133" t="s">
        <v>1563</v>
      </c>
      <c r="E94" s="133" t="s">
        <v>1563</v>
      </c>
      <c r="F94" s="133" t="s">
        <v>1563</v>
      </c>
    </row>
    <row r="95" spans="1:6" ht="14.1" customHeight="1" x14ac:dyDescent="0.35">
      <c r="A95" s="156" t="s">
        <v>1654</v>
      </c>
      <c r="B95" s="157" t="s">
        <v>1655</v>
      </c>
      <c r="C95" s="158" t="s">
        <v>1563</v>
      </c>
      <c r="D95" s="159" t="s">
        <v>1563</v>
      </c>
      <c r="E95" s="160"/>
      <c r="F95" s="159" t="s">
        <v>1563</v>
      </c>
    </row>
    <row r="96" spans="1:6" ht="14.1" customHeight="1" x14ac:dyDescent="0.35">
      <c r="A96" s="156" t="s">
        <v>1654</v>
      </c>
      <c r="B96" s="157" t="s">
        <v>1656</v>
      </c>
      <c r="C96" s="158" t="s">
        <v>1563</v>
      </c>
      <c r="D96" s="159" t="s">
        <v>1563</v>
      </c>
      <c r="E96" s="160"/>
      <c r="F96" s="159" t="s">
        <v>1563</v>
      </c>
    </row>
    <row r="97" spans="1:6" ht="14.1" customHeight="1" x14ac:dyDescent="0.35">
      <c r="A97" s="156" t="s">
        <v>1654</v>
      </c>
      <c r="B97" s="157" t="s">
        <v>1657</v>
      </c>
      <c r="C97" s="158" t="s">
        <v>1563</v>
      </c>
      <c r="D97" s="159" t="s">
        <v>1563</v>
      </c>
      <c r="E97" s="160"/>
      <c r="F97" s="159" t="s">
        <v>1563</v>
      </c>
    </row>
    <row r="98" spans="1:6" ht="14.1" customHeight="1" x14ac:dyDescent="0.35">
      <c r="A98" s="156" t="s">
        <v>1654</v>
      </c>
      <c r="B98" s="157" t="s">
        <v>1658</v>
      </c>
      <c r="C98" s="158" t="s">
        <v>1563</v>
      </c>
      <c r="D98" s="159" t="s">
        <v>1563</v>
      </c>
      <c r="E98" s="160"/>
      <c r="F98" s="159" t="s">
        <v>1563</v>
      </c>
    </row>
    <row r="99" spans="1:6" ht="14.1" customHeight="1" x14ac:dyDescent="0.35">
      <c r="A99" s="156" t="s">
        <v>1654</v>
      </c>
      <c r="B99" s="157" t="s">
        <v>1659</v>
      </c>
      <c r="C99" s="158" t="s">
        <v>1563</v>
      </c>
      <c r="D99" s="159" t="s">
        <v>1563</v>
      </c>
      <c r="E99" s="160"/>
      <c r="F99" s="159" t="s">
        <v>1563</v>
      </c>
    </row>
    <row r="100" spans="1:6" ht="14.1" customHeight="1" x14ac:dyDescent="0.35">
      <c r="A100" s="156" t="s">
        <v>1654</v>
      </c>
      <c r="B100" s="157" t="s">
        <v>1660</v>
      </c>
      <c r="C100" s="158" t="s">
        <v>1563</v>
      </c>
      <c r="D100" s="159" t="s">
        <v>1563</v>
      </c>
      <c r="E100" s="160"/>
      <c r="F100" s="159" t="s">
        <v>1563</v>
      </c>
    </row>
    <row r="101" spans="1:6" ht="14.1" customHeight="1" x14ac:dyDescent="0.35">
      <c r="A101" s="156" t="s">
        <v>1654</v>
      </c>
      <c r="B101" s="157" t="s">
        <v>1599</v>
      </c>
      <c r="C101" s="158" t="s">
        <v>1563</v>
      </c>
      <c r="D101" s="159" t="s">
        <v>1563</v>
      </c>
      <c r="E101" s="159" t="s">
        <v>1563</v>
      </c>
      <c r="F101" s="159" t="s">
        <v>1563</v>
      </c>
    </row>
    <row r="102" spans="1:6" ht="14.1" customHeight="1" x14ac:dyDescent="0.35">
      <c r="A102" s="156" t="s">
        <v>1654</v>
      </c>
      <c r="B102" s="157" t="s">
        <v>1661</v>
      </c>
      <c r="C102" s="158" t="s">
        <v>1563</v>
      </c>
      <c r="D102" s="159" t="s">
        <v>1563</v>
      </c>
      <c r="E102" s="160"/>
      <c r="F102" s="159" t="s">
        <v>1563</v>
      </c>
    </row>
    <row r="103" spans="1:6" ht="14.1" customHeight="1" x14ac:dyDescent="0.35">
      <c r="A103" s="161" t="s">
        <v>1662</v>
      </c>
      <c r="B103" s="162" t="s">
        <v>1663</v>
      </c>
      <c r="C103" s="163" t="s">
        <v>1563</v>
      </c>
      <c r="D103" s="164" t="s">
        <v>1563</v>
      </c>
      <c r="E103" s="164" t="s">
        <v>1563</v>
      </c>
      <c r="F103" s="165" t="s">
        <v>1613</v>
      </c>
    </row>
    <row r="104" spans="1:6" ht="14.1" customHeight="1" x14ac:dyDescent="0.35">
      <c r="A104" s="161" t="s">
        <v>1662</v>
      </c>
      <c r="B104" s="166" t="s">
        <v>1664</v>
      </c>
      <c r="C104" s="163" t="s">
        <v>1563</v>
      </c>
      <c r="D104" s="164" t="s">
        <v>1563</v>
      </c>
      <c r="E104" s="164" t="s">
        <v>1563</v>
      </c>
      <c r="F104" s="165"/>
    </row>
    <row r="105" spans="1:6" s="167" customFormat="1" ht="14.1" customHeight="1" x14ac:dyDescent="0.35">
      <c r="A105" s="161" t="s">
        <v>1662</v>
      </c>
      <c r="B105" s="166" t="s">
        <v>1665</v>
      </c>
      <c r="C105" s="163" t="s">
        <v>1563</v>
      </c>
      <c r="D105" s="164" t="s">
        <v>1563</v>
      </c>
      <c r="E105" s="164" t="s">
        <v>1563</v>
      </c>
      <c r="F105" s="165"/>
    </row>
    <row r="106" spans="1:6" s="167" customFormat="1" ht="14.1" customHeight="1" x14ac:dyDescent="0.35">
      <c r="A106" s="161" t="s">
        <v>1662</v>
      </c>
      <c r="B106" s="166" t="s">
        <v>1666</v>
      </c>
      <c r="C106" s="163"/>
      <c r="D106" s="164" t="s">
        <v>1563</v>
      </c>
      <c r="E106" s="165" t="s">
        <v>1613</v>
      </c>
      <c r="F106" s="165"/>
    </row>
    <row r="107" spans="1:6" s="167" customFormat="1" ht="14.1" customHeight="1" x14ac:dyDescent="0.35">
      <c r="A107" s="161" t="s">
        <v>1662</v>
      </c>
      <c r="B107" s="166" t="s">
        <v>1667</v>
      </c>
      <c r="C107" s="163"/>
      <c r="D107" s="164" t="s">
        <v>1563</v>
      </c>
      <c r="E107" s="165"/>
      <c r="F107" s="165"/>
    </row>
    <row r="108" spans="1:6" s="167" customFormat="1" ht="14.1" customHeight="1" x14ac:dyDescent="0.35">
      <c r="A108" s="161" t="s">
        <v>1662</v>
      </c>
      <c r="B108" s="166" t="s">
        <v>1668</v>
      </c>
      <c r="C108" s="163"/>
      <c r="D108" s="164" t="s">
        <v>1563</v>
      </c>
      <c r="E108" s="165"/>
      <c r="F108" s="165"/>
    </row>
    <row r="109" spans="1:6" ht="14.1" customHeight="1" x14ac:dyDescent="0.35">
      <c r="A109" s="161" t="s">
        <v>1662</v>
      </c>
      <c r="B109" s="166" t="s">
        <v>1669</v>
      </c>
      <c r="C109" s="163" t="s">
        <v>1563</v>
      </c>
      <c r="D109" s="164" t="s">
        <v>1563</v>
      </c>
      <c r="E109" s="164" t="s">
        <v>1563</v>
      </c>
      <c r="F109" s="164" t="s">
        <v>1563</v>
      </c>
    </row>
    <row r="110" spans="1:6" ht="14.1" customHeight="1" x14ac:dyDescent="0.35">
      <c r="A110" s="161" t="s">
        <v>1662</v>
      </c>
      <c r="B110" s="166" t="s">
        <v>1670</v>
      </c>
      <c r="C110" s="163" t="s">
        <v>1563</v>
      </c>
      <c r="D110" s="164" t="s">
        <v>1563</v>
      </c>
      <c r="E110" s="164" t="s">
        <v>1563</v>
      </c>
      <c r="F110" s="165"/>
    </row>
    <row r="111" spans="1:6" ht="14.1" customHeight="1" x14ac:dyDescent="0.35">
      <c r="A111" s="161" t="s">
        <v>1662</v>
      </c>
      <c r="B111" s="166" t="s">
        <v>1671</v>
      </c>
      <c r="C111" s="163" t="s">
        <v>1563</v>
      </c>
      <c r="D111" s="164" t="s">
        <v>1563</v>
      </c>
      <c r="E111" s="165"/>
      <c r="F111" s="165"/>
    </row>
    <row r="112" spans="1:6" ht="14.1" customHeight="1" x14ac:dyDescent="0.35">
      <c r="A112" s="161" t="s">
        <v>1662</v>
      </c>
      <c r="B112" s="166" t="s">
        <v>1672</v>
      </c>
      <c r="C112" s="163" t="s">
        <v>1563</v>
      </c>
      <c r="D112" s="164" t="s">
        <v>1563</v>
      </c>
      <c r="E112" s="164" t="s">
        <v>1563</v>
      </c>
      <c r="F112" s="165" t="s">
        <v>1613</v>
      </c>
    </row>
    <row r="113" spans="1:6" ht="14.1" customHeight="1" x14ac:dyDescent="0.35">
      <c r="A113" s="161" t="s">
        <v>1662</v>
      </c>
      <c r="B113" s="166" t="s">
        <v>1673</v>
      </c>
      <c r="C113" s="163" t="s">
        <v>1563</v>
      </c>
      <c r="D113" s="164" t="s">
        <v>1563</v>
      </c>
      <c r="E113" s="164" t="s">
        <v>1563</v>
      </c>
      <c r="F113" s="165" t="s">
        <v>1613</v>
      </c>
    </row>
    <row r="114" spans="1:6" ht="14.1" customHeight="1" x14ac:dyDescent="0.35">
      <c r="A114" s="161" t="s">
        <v>1662</v>
      </c>
      <c r="B114" s="168" t="s">
        <v>1674</v>
      </c>
      <c r="C114" s="163" t="s">
        <v>1563</v>
      </c>
      <c r="D114" s="164" t="s">
        <v>1563</v>
      </c>
      <c r="E114" s="164" t="s">
        <v>1563</v>
      </c>
      <c r="F114" s="165" t="s">
        <v>1613</v>
      </c>
    </row>
    <row r="115" spans="1:6" ht="14.1" customHeight="1" x14ac:dyDescent="0.35">
      <c r="A115" s="161" t="s">
        <v>1662</v>
      </c>
      <c r="B115" s="166" t="s">
        <v>1675</v>
      </c>
      <c r="C115" s="163" t="s">
        <v>1563</v>
      </c>
      <c r="D115" s="164" t="s">
        <v>1563</v>
      </c>
      <c r="E115" s="164" t="s">
        <v>1563</v>
      </c>
      <c r="F115" s="165" t="s">
        <v>1613</v>
      </c>
    </row>
    <row r="116" spans="1:6" ht="14.1" customHeight="1" x14ac:dyDescent="0.35">
      <c r="A116" s="161" t="s">
        <v>1662</v>
      </c>
      <c r="B116" s="166" t="s">
        <v>1676</v>
      </c>
      <c r="C116" s="163" t="s">
        <v>1563</v>
      </c>
      <c r="D116" s="164" t="s">
        <v>1563</v>
      </c>
      <c r="E116" s="164" t="s">
        <v>1563</v>
      </c>
      <c r="F116" s="165" t="s">
        <v>1613</v>
      </c>
    </row>
    <row r="117" spans="1:6" ht="14.1" customHeight="1" x14ac:dyDescent="0.35">
      <c r="A117" s="161" t="s">
        <v>1662</v>
      </c>
      <c r="B117" s="166" t="s">
        <v>1677</v>
      </c>
      <c r="C117" s="163" t="s">
        <v>1563</v>
      </c>
      <c r="D117" s="164" t="s">
        <v>1563</v>
      </c>
      <c r="E117" s="164" t="s">
        <v>1563</v>
      </c>
      <c r="F117" s="165" t="s">
        <v>1613</v>
      </c>
    </row>
    <row r="118" spans="1:6" ht="14.1" customHeight="1" x14ac:dyDescent="0.35">
      <c r="A118" s="161" t="s">
        <v>1662</v>
      </c>
      <c r="B118" s="166" t="s">
        <v>1678</v>
      </c>
      <c r="C118" s="163" t="s">
        <v>1563</v>
      </c>
      <c r="D118" s="164" t="s">
        <v>1563</v>
      </c>
      <c r="E118" s="164" t="s">
        <v>1563</v>
      </c>
      <c r="F118" s="165" t="s">
        <v>1613</v>
      </c>
    </row>
    <row r="119" spans="1:6" ht="14.1" customHeight="1" x14ac:dyDescent="0.35">
      <c r="A119" s="161" t="s">
        <v>1662</v>
      </c>
      <c r="B119" s="166" t="s">
        <v>1679</v>
      </c>
      <c r="C119" s="163" t="s">
        <v>1563</v>
      </c>
      <c r="D119" s="164" t="s">
        <v>1563</v>
      </c>
      <c r="E119" s="164" t="s">
        <v>1563</v>
      </c>
      <c r="F119" s="165" t="s">
        <v>1613</v>
      </c>
    </row>
    <row r="120" spans="1:6" ht="14.1" customHeight="1" x14ac:dyDescent="0.35">
      <c r="A120" s="161" t="s">
        <v>1662</v>
      </c>
      <c r="B120" s="166" t="s">
        <v>1680</v>
      </c>
      <c r="C120" s="163" t="s">
        <v>1563</v>
      </c>
      <c r="D120" s="164" t="s">
        <v>1563</v>
      </c>
      <c r="E120" s="165"/>
      <c r="F120" s="165" t="s">
        <v>1613</v>
      </c>
    </row>
    <row r="121" spans="1:6" ht="14.1" customHeight="1" x14ac:dyDescent="0.35">
      <c r="A121" s="161" t="s">
        <v>1662</v>
      </c>
      <c r="B121" s="166" t="s">
        <v>1681</v>
      </c>
      <c r="C121" s="163" t="s">
        <v>1563</v>
      </c>
      <c r="D121" s="164" t="s">
        <v>1563</v>
      </c>
      <c r="E121" s="164" t="s">
        <v>1563</v>
      </c>
      <c r="F121" s="165" t="s">
        <v>1613</v>
      </c>
    </row>
    <row r="122" spans="1:6" ht="14.1" customHeight="1" x14ac:dyDescent="0.35">
      <c r="A122" s="161" t="s">
        <v>1662</v>
      </c>
      <c r="B122" s="166" t="s">
        <v>1682</v>
      </c>
      <c r="C122" s="163"/>
      <c r="D122" s="164" t="s">
        <v>1563</v>
      </c>
      <c r="E122" s="164" t="s">
        <v>1563</v>
      </c>
      <c r="F122" s="165"/>
    </row>
    <row r="123" spans="1:6" ht="14.1" customHeight="1" x14ac:dyDescent="0.35">
      <c r="A123" s="161" t="s">
        <v>1662</v>
      </c>
      <c r="B123" s="166" t="s">
        <v>1683</v>
      </c>
      <c r="C123" s="163" t="s">
        <v>1563</v>
      </c>
      <c r="D123" s="164" t="s">
        <v>1563</v>
      </c>
      <c r="E123" s="164" t="s">
        <v>1563</v>
      </c>
      <c r="F123" s="164" t="s">
        <v>1563</v>
      </c>
    </row>
    <row r="124" spans="1:6" ht="14.1" customHeight="1" x14ac:dyDescent="0.35">
      <c r="A124" s="169" t="s">
        <v>1684</v>
      </c>
      <c r="B124" s="170" t="s">
        <v>1685</v>
      </c>
      <c r="C124" s="171"/>
      <c r="D124" s="172" t="s">
        <v>1563</v>
      </c>
      <c r="E124" s="172" t="s">
        <v>1563</v>
      </c>
      <c r="F124" s="172" t="s">
        <v>1686</v>
      </c>
    </row>
    <row r="125" spans="1:6" ht="14.1" customHeight="1" x14ac:dyDescent="0.35">
      <c r="A125" s="169" t="s">
        <v>1684</v>
      </c>
      <c r="B125" s="170" t="s">
        <v>1687</v>
      </c>
      <c r="C125" s="171"/>
      <c r="D125" s="172" t="s">
        <v>1563</v>
      </c>
      <c r="E125" s="172" t="s">
        <v>1563</v>
      </c>
      <c r="F125" s="172"/>
    </row>
    <row r="126" spans="1:6" ht="14.1" customHeight="1" x14ac:dyDescent="0.35">
      <c r="A126" s="169" t="s">
        <v>1684</v>
      </c>
      <c r="B126" s="170" t="s">
        <v>1688</v>
      </c>
      <c r="C126" s="171"/>
      <c r="D126" s="172" t="s">
        <v>1563</v>
      </c>
      <c r="E126" s="172" t="s">
        <v>1563</v>
      </c>
      <c r="F126" s="172"/>
    </row>
    <row r="127" spans="1:6" ht="14.1" customHeight="1" x14ac:dyDescent="0.35">
      <c r="A127" s="173" t="s">
        <v>1689</v>
      </c>
      <c r="B127" s="174" t="s">
        <v>1690</v>
      </c>
      <c r="C127" s="175" t="s">
        <v>1691</v>
      </c>
      <c r="D127" s="176" t="s">
        <v>1563</v>
      </c>
      <c r="E127" s="176" t="s">
        <v>1563</v>
      </c>
      <c r="F127" s="177"/>
    </row>
    <row r="128" spans="1:6" ht="14.1" customHeight="1" x14ac:dyDescent="0.35">
      <c r="A128" s="173" t="s">
        <v>1689</v>
      </c>
      <c r="B128" s="174" t="s">
        <v>1692</v>
      </c>
      <c r="C128" s="175"/>
      <c r="D128" s="178" t="s">
        <v>1563</v>
      </c>
      <c r="E128" s="178" t="s">
        <v>1563</v>
      </c>
      <c r="F128" s="177"/>
    </row>
    <row r="129" spans="1:6" ht="14.1" customHeight="1" x14ac:dyDescent="0.35">
      <c r="A129" s="173" t="s">
        <v>1689</v>
      </c>
      <c r="B129" s="174" t="s">
        <v>1693</v>
      </c>
      <c r="C129" s="175"/>
      <c r="D129" s="176" t="s">
        <v>1563</v>
      </c>
      <c r="E129" s="176" t="s">
        <v>1563</v>
      </c>
      <c r="F129" s="177" t="s">
        <v>1613</v>
      </c>
    </row>
    <row r="130" spans="1:6" ht="14.1" customHeight="1" x14ac:dyDescent="0.35">
      <c r="A130" s="173" t="s">
        <v>1689</v>
      </c>
      <c r="B130" s="174" t="s">
        <v>1694</v>
      </c>
      <c r="C130" s="175" t="s">
        <v>1644</v>
      </c>
      <c r="D130" s="176" t="s">
        <v>1563</v>
      </c>
      <c r="E130" s="176" t="s">
        <v>1563</v>
      </c>
      <c r="F130" s="177"/>
    </row>
    <row r="131" spans="1:6" ht="14.1" customHeight="1" x14ac:dyDescent="0.35">
      <c r="A131" s="173" t="s">
        <v>1689</v>
      </c>
      <c r="B131" s="174" t="s">
        <v>1695</v>
      </c>
      <c r="C131" s="175"/>
      <c r="D131" s="176" t="s">
        <v>1563</v>
      </c>
      <c r="E131" s="176" t="s">
        <v>1563</v>
      </c>
      <c r="F131" s="177" t="s">
        <v>1613</v>
      </c>
    </row>
    <row r="132" spans="1:6" ht="14.1" customHeight="1" x14ac:dyDescent="0.35">
      <c r="A132" s="173" t="s">
        <v>1689</v>
      </c>
      <c r="B132" s="174" t="s">
        <v>1696</v>
      </c>
      <c r="C132" s="175"/>
      <c r="D132" s="176" t="s">
        <v>1563</v>
      </c>
      <c r="E132" s="176" t="s">
        <v>1563</v>
      </c>
      <c r="F132" s="177" t="s">
        <v>1613</v>
      </c>
    </row>
    <row r="133" spans="1:6" ht="14.1" customHeight="1" x14ac:dyDescent="0.35">
      <c r="A133" s="173" t="s">
        <v>1689</v>
      </c>
      <c r="B133" s="174" t="s">
        <v>1697</v>
      </c>
      <c r="C133" s="175"/>
      <c r="D133" s="176" t="s">
        <v>1563</v>
      </c>
      <c r="E133" s="177"/>
      <c r="F133" s="177"/>
    </row>
    <row r="134" spans="1:6" ht="14.1" customHeight="1" x14ac:dyDescent="0.35">
      <c r="A134" s="173" t="s">
        <v>1689</v>
      </c>
      <c r="B134" s="174" t="s">
        <v>1698</v>
      </c>
      <c r="C134" s="175"/>
      <c r="D134" s="178" t="s">
        <v>1563</v>
      </c>
      <c r="E134" s="177"/>
      <c r="F134" s="177"/>
    </row>
    <row r="135" spans="1:6" ht="14.1" customHeight="1" x14ac:dyDescent="0.35">
      <c r="A135" s="173" t="s">
        <v>1689</v>
      </c>
      <c r="B135" s="174" t="s">
        <v>1699</v>
      </c>
      <c r="C135" s="175"/>
      <c r="D135" s="176" t="s">
        <v>1563</v>
      </c>
      <c r="E135" s="176" t="s">
        <v>1563</v>
      </c>
      <c r="F135" s="177"/>
    </row>
    <row r="136" spans="1:6" ht="14.1" customHeight="1" x14ac:dyDescent="0.35">
      <c r="A136" s="179" t="s">
        <v>1700</v>
      </c>
      <c r="B136" s="180" t="s">
        <v>1701</v>
      </c>
      <c r="C136" s="181"/>
      <c r="D136" s="182" t="s">
        <v>1563</v>
      </c>
      <c r="E136" s="183"/>
      <c r="F136" s="183"/>
    </row>
    <row r="137" spans="1:6" ht="14.1" customHeight="1" x14ac:dyDescent="0.35">
      <c r="A137" s="179" t="s">
        <v>1700</v>
      </c>
      <c r="B137" s="180" t="s">
        <v>1702</v>
      </c>
      <c r="C137" s="181"/>
      <c r="D137" s="182" t="s">
        <v>1563</v>
      </c>
      <c r="E137" s="183"/>
      <c r="F137" s="183"/>
    </row>
    <row r="138" spans="1:6" ht="14.1" customHeight="1" x14ac:dyDescent="0.35">
      <c r="A138" s="179" t="s">
        <v>1700</v>
      </c>
      <c r="B138" s="180" t="s">
        <v>1703</v>
      </c>
      <c r="C138" s="181"/>
      <c r="D138" s="182" t="s">
        <v>1563</v>
      </c>
      <c r="E138" s="183"/>
      <c r="F138" s="183"/>
    </row>
    <row r="139" spans="1:6" ht="14.1" customHeight="1" x14ac:dyDescent="0.35">
      <c r="A139" s="184" t="s">
        <v>1704</v>
      </c>
      <c r="B139" s="185" t="s">
        <v>1705</v>
      </c>
      <c r="C139" s="186"/>
      <c r="D139" s="187" t="s">
        <v>1563</v>
      </c>
      <c r="E139" s="188"/>
      <c r="F139" s="188"/>
    </row>
    <row r="140" spans="1:6" ht="14.1" customHeight="1" x14ac:dyDescent="0.35">
      <c r="A140" s="184" t="s">
        <v>1704</v>
      </c>
      <c r="B140" s="185" t="s">
        <v>1706</v>
      </c>
      <c r="C140" s="186"/>
      <c r="D140" s="187" t="s">
        <v>1563</v>
      </c>
      <c r="E140" s="188"/>
      <c r="F140" s="187"/>
    </row>
    <row r="141" spans="1:6" ht="14.1" customHeight="1" x14ac:dyDescent="0.35">
      <c r="A141" s="184" t="s">
        <v>1704</v>
      </c>
      <c r="B141" s="185" t="s">
        <v>1707</v>
      </c>
      <c r="C141" s="186"/>
      <c r="D141" s="187" t="s">
        <v>1563</v>
      </c>
      <c r="E141" s="188"/>
      <c r="F141" s="188"/>
    </row>
    <row r="142" spans="1:6" ht="14.1" customHeight="1" x14ac:dyDescent="0.35">
      <c r="A142" s="184" t="s">
        <v>1704</v>
      </c>
      <c r="B142" s="185" t="s">
        <v>1708</v>
      </c>
      <c r="C142" s="186"/>
      <c r="D142" s="187" t="s">
        <v>1563</v>
      </c>
      <c r="E142" s="188"/>
      <c r="F142" s="188"/>
    </row>
    <row r="143" spans="1:6" ht="14.1" customHeight="1" x14ac:dyDescent="0.35">
      <c r="A143" s="184" t="s">
        <v>1704</v>
      </c>
      <c r="B143" s="185" t="s">
        <v>1709</v>
      </c>
      <c r="C143" s="186"/>
      <c r="D143" s="187" t="s">
        <v>1563</v>
      </c>
      <c r="E143" s="188"/>
      <c r="F143" s="188"/>
    </row>
    <row r="144" spans="1:6" ht="14.1" customHeight="1" x14ac:dyDescent="0.35">
      <c r="A144" s="189" t="s">
        <v>1710</v>
      </c>
      <c r="B144" s="190" t="s">
        <v>1711</v>
      </c>
      <c r="C144" s="191" t="s">
        <v>1563</v>
      </c>
      <c r="D144" s="192" t="s">
        <v>1563</v>
      </c>
      <c r="E144" s="193"/>
      <c r="F144" s="193"/>
    </row>
    <row r="145" spans="1:6" ht="14.1" customHeight="1" x14ac:dyDescent="0.35">
      <c r="A145" s="189" t="s">
        <v>1710</v>
      </c>
      <c r="B145" s="194" t="s">
        <v>1712</v>
      </c>
      <c r="C145" s="195" t="s">
        <v>1563</v>
      </c>
      <c r="D145" s="196" t="s">
        <v>1563</v>
      </c>
      <c r="E145" s="196" t="s">
        <v>1563</v>
      </c>
      <c r="F145" s="196" t="s">
        <v>1563</v>
      </c>
    </row>
    <row r="146" spans="1:6" ht="14.1" customHeight="1" x14ac:dyDescent="0.35">
      <c r="A146" s="189" t="s">
        <v>1710</v>
      </c>
      <c r="B146" s="190" t="s">
        <v>1713</v>
      </c>
      <c r="C146" s="191" t="s">
        <v>1563</v>
      </c>
      <c r="D146" s="192" t="s">
        <v>1563</v>
      </c>
      <c r="E146" s="193"/>
      <c r="F146" s="193"/>
    </row>
    <row r="147" spans="1:6" ht="14.1" customHeight="1" x14ac:dyDescent="0.35">
      <c r="A147" s="179" t="s">
        <v>1451</v>
      </c>
      <c r="B147" s="197" t="s">
        <v>1451</v>
      </c>
      <c r="C147" s="198"/>
      <c r="D147" s="199" t="s">
        <v>1563</v>
      </c>
      <c r="E147" s="183"/>
      <c r="F147" s="183"/>
    </row>
    <row r="148" spans="1:6" ht="14.1" customHeight="1" x14ac:dyDescent="0.35">
      <c r="A148" s="179" t="s">
        <v>1451</v>
      </c>
      <c r="B148" s="197" t="s">
        <v>1714</v>
      </c>
      <c r="C148" s="198"/>
      <c r="D148" s="199" t="s">
        <v>1563</v>
      </c>
      <c r="E148" s="183"/>
      <c r="F148" s="183"/>
    </row>
    <row r="149" spans="1:6" ht="14.1" customHeight="1" x14ac:dyDescent="0.35">
      <c r="A149" s="179" t="s">
        <v>1451</v>
      </c>
      <c r="B149" s="197" t="s">
        <v>1715</v>
      </c>
      <c r="C149" s="198"/>
      <c r="D149" s="199" t="s">
        <v>1563</v>
      </c>
      <c r="E149" s="183"/>
      <c r="F149" s="183"/>
    </row>
    <row r="150" spans="1:6" ht="14.1" customHeight="1" x14ac:dyDescent="0.35">
      <c r="A150" s="200" t="s">
        <v>1716</v>
      </c>
      <c r="B150" s="201" t="s">
        <v>1717</v>
      </c>
      <c r="C150" s="202" t="s">
        <v>1563</v>
      </c>
      <c r="D150" s="203" t="s">
        <v>1563</v>
      </c>
      <c r="E150" s="203" t="s">
        <v>1563</v>
      </c>
      <c r="F150" s="203" t="s">
        <v>1563</v>
      </c>
    </row>
    <row r="151" spans="1:6" ht="14.1" customHeight="1" x14ac:dyDescent="0.35">
      <c r="A151" s="200" t="s">
        <v>1716</v>
      </c>
      <c r="B151" s="201" t="s">
        <v>1718</v>
      </c>
      <c r="C151" s="204" t="s">
        <v>1563</v>
      </c>
      <c r="D151" s="203" t="s">
        <v>1563</v>
      </c>
      <c r="E151" s="205"/>
      <c r="F151" s="205"/>
    </row>
    <row r="152" spans="1:6" ht="14.1" customHeight="1" x14ac:dyDescent="0.35">
      <c r="A152" s="200" t="s">
        <v>1716</v>
      </c>
      <c r="B152" s="201" t="s">
        <v>1719</v>
      </c>
      <c r="C152" s="202" t="s">
        <v>1563</v>
      </c>
      <c r="D152" s="203" t="s">
        <v>1563</v>
      </c>
      <c r="E152" s="203" t="s">
        <v>1563</v>
      </c>
      <c r="F152" s="203" t="s">
        <v>1563</v>
      </c>
    </row>
    <row r="153" spans="1:6" ht="14.1" customHeight="1" x14ac:dyDescent="0.35">
      <c r="A153" s="169" t="s">
        <v>1720</v>
      </c>
      <c r="B153" s="206" t="s">
        <v>1721</v>
      </c>
      <c r="C153" s="207" t="s">
        <v>1563</v>
      </c>
      <c r="D153" s="208" t="s">
        <v>1563</v>
      </c>
      <c r="E153" s="208" t="s">
        <v>1563</v>
      </c>
      <c r="F153" s="208" t="s">
        <v>1563</v>
      </c>
    </row>
    <row r="154" spans="1:6" ht="14.1" customHeight="1" x14ac:dyDescent="0.35">
      <c r="A154" s="169" t="s">
        <v>1720</v>
      </c>
      <c r="B154" s="206" t="s">
        <v>1722</v>
      </c>
      <c r="C154" s="171" t="s">
        <v>1563</v>
      </c>
      <c r="D154" s="208" t="s">
        <v>1563</v>
      </c>
      <c r="E154" s="208" t="s">
        <v>1563</v>
      </c>
      <c r="F154" s="208" t="s">
        <v>1563</v>
      </c>
    </row>
    <row r="155" spans="1:6" ht="14.1" customHeight="1" x14ac:dyDescent="0.35">
      <c r="A155" s="169" t="s">
        <v>1720</v>
      </c>
      <c r="B155" s="206" t="s">
        <v>1723</v>
      </c>
      <c r="C155" s="171" t="s">
        <v>1563</v>
      </c>
      <c r="D155" s="208" t="s">
        <v>1563</v>
      </c>
      <c r="E155" s="208" t="s">
        <v>1563</v>
      </c>
      <c r="F155" s="208" t="s">
        <v>1563</v>
      </c>
    </row>
    <row r="156" spans="1:6" ht="14.1" customHeight="1" x14ac:dyDescent="0.35">
      <c r="A156" s="169" t="s">
        <v>1720</v>
      </c>
      <c r="B156" s="209" t="s">
        <v>1724</v>
      </c>
      <c r="C156" s="171" t="s">
        <v>1563</v>
      </c>
      <c r="D156" s="208" t="s">
        <v>1563</v>
      </c>
      <c r="E156" s="210"/>
      <c r="F156" s="210"/>
    </row>
    <row r="157" spans="1:6" ht="14.1" customHeight="1" x14ac:dyDescent="0.35">
      <c r="A157" s="169" t="s">
        <v>1720</v>
      </c>
      <c r="B157" s="209" t="s">
        <v>1725</v>
      </c>
      <c r="C157" s="207" t="s">
        <v>1563</v>
      </c>
      <c r="D157" s="208" t="s">
        <v>1563</v>
      </c>
      <c r="E157" s="208" t="s">
        <v>1563</v>
      </c>
      <c r="F157" s="208" t="s">
        <v>1563</v>
      </c>
    </row>
    <row r="158" spans="1:6" ht="14.1" customHeight="1" x14ac:dyDescent="0.35">
      <c r="A158" s="169" t="s">
        <v>1720</v>
      </c>
      <c r="B158" s="206" t="s">
        <v>1726</v>
      </c>
      <c r="C158" s="171" t="s">
        <v>1563</v>
      </c>
      <c r="D158" s="208" t="s">
        <v>1563</v>
      </c>
      <c r="E158" s="208" t="s">
        <v>1563</v>
      </c>
      <c r="F158" s="208" t="s">
        <v>1563</v>
      </c>
    </row>
    <row r="159" spans="1:6" ht="14.1" customHeight="1" x14ac:dyDescent="0.35">
      <c r="A159" s="169" t="s">
        <v>1720</v>
      </c>
      <c r="B159" s="206" t="s">
        <v>1727</v>
      </c>
      <c r="C159" s="171" t="s">
        <v>1563</v>
      </c>
      <c r="D159" s="208" t="s">
        <v>1563</v>
      </c>
      <c r="E159" s="208" t="s">
        <v>1563</v>
      </c>
      <c r="F159" s="208" t="s">
        <v>1563</v>
      </c>
    </row>
    <row r="160" spans="1:6" ht="14.1" customHeight="1" x14ac:dyDescent="0.35">
      <c r="A160" s="169" t="s">
        <v>1720</v>
      </c>
      <c r="B160" s="206" t="s">
        <v>1728</v>
      </c>
      <c r="C160" s="171" t="s">
        <v>1563</v>
      </c>
      <c r="D160" s="208" t="s">
        <v>1563</v>
      </c>
      <c r="E160" s="208" t="s">
        <v>1563</v>
      </c>
      <c r="F160" s="208" t="s">
        <v>1563</v>
      </c>
    </row>
    <row r="161" spans="1:6" ht="14.1" customHeight="1" x14ac:dyDescent="0.35">
      <c r="A161" s="169" t="s">
        <v>1720</v>
      </c>
      <c r="B161" s="206" t="s">
        <v>1729</v>
      </c>
      <c r="C161" s="211" t="s">
        <v>1563</v>
      </c>
      <c r="D161" s="208" t="s">
        <v>1563</v>
      </c>
      <c r="E161" s="208" t="s">
        <v>1563</v>
      </c>
      <c r="F161" s="208" t="s">
        <v>1563</v>
      </c>
    </row>
    <row r="162" spans="1:6" ht="14.1" customHeight="1" x14ac:dyDescent="0.35">
      <c r="A162" s="212" t="s">
        <v>1730</v>
      </c>
      <c r="B162" s="213" t="s">
        <v>1731</v>
      </c>
      <c r="C162" s="214"/>
      <c r="D162" s="215" t="s">
        <v>1563</v>
      </c>
      <c r="E162" s="216"/>
      <c r="F162" s="216"/>
    </row>
    <row r="163" spans="1:6" ht="14.1" customHeight="1" x14ac:dyDescent="0.35">
      <c r="A163" s="212" t="s">
        <v>1730</v>
      </c>
      <c r="B163" s="213" t="s">
        <v>1732</v>
      </c>
      <c r="C163" s="214"/>
      <c r="D163" s="215" t="s">
        <v>1563</v>
      </c>
      <c r="E163" s="216"/>
      <c r="F163" s="215" t="s">
        <v>1563</v>
      </c>
    </row>
    <row r="164" spans="1:6" ht="14.1" customHeight="1" x14ac:dyDescent="0.35">
      <c r="A164" s="212" t="s">
        <v>1730</v>
      </c>
      <c r="B164" s="213" t="s">
        <v>1733</v>
      </c>
      <c r="C164" s="214"/>
      <c r="D164" s="215" t="s">
        <v>1563</v>
      </c>
      <c r="E164" s="215" t="s">
        <v>1563</v>
      </c>
      <c r="F164" s="216"/>
    </row>
    <row r="165" spans="1:6" ht="14.1" customHeight="1" x14ac:dyDescent="0.35">
      <c r="A165" s="212" t="s">
        <v>1730</v>
      </c>
      <c r="B165" s="217" t="s">
        <v>1734</v>
      </c>
      <c r="C165" s="218" t="s">
        <v>1563</v>
      </c>
      <c r="D165" s="215" t="s">
        <v>1563</v>
      </c>
      <c r="E165" s="215" t="s">
        <v>1563</v>
      </c>
      <c r="F165" s="215" t="s">
        <v>1563</v>
      </c>
    </row>
    <row r="166" spans="1:6" ht="14.1" customHeight="1" x14ac:dyDescent="0.35">
      <c r="A166" s="212" t="s">
        <v>1735</v>
      </c>
      <c r="B166" s="219" t="s">
        <v>1736</v>
      </c>
      <c r="C166" s="214" t="s">
        <v>1737</v>
      </c>
      <c r="D166" s="215" t="s">
        <v>1737</v>
      </c>
      <c r="E166" s="215"/>
      <c r="F166" s="215"/>
    </row>
    <row r="167" spans="1:6" ht="14.1" customHeight="1" x14ac:dyDescent="0.35">
      <c r="A167" s="212" t="s">
        <v>1735</v>
      </c>
      <c r="B167" s="217" t="s">
        <v>1738</v>
      </c>
      <c r="C167" s="214" t="s">
        <v>1563</v>
      </c>
      <c r="D167" s="215" t="s">
        <v>1563</v>
      </c>
      <c r="E167" s="215" t="s">
        <v>1563</v>
      </c>
      <c r="F167" s="215" t="s">
        <v>1563</v>
      </c>
    </row>
    <row r="168" spans="1:6" ht="14.1" customHeight="1" x14ac:dyDescent="0.35">
      <c r="A168" s="220" t="s">
        <v>1739</v>
      </c>
      <c r="B168" s="217" t="s">
        <v>1740</v>
      </c>
      <c r="C168" s="214" t="s">
        <v>1741</v>
      </c>
      <c r="D168" s="215" t="s">
        <v>1563</v>
      </c>
      <c r="E168" s="221" t="s">
        <v>1741</v>
      </c>
      <c r="F168" s="221" t="s">
        <v>1741</v>
      </c>
    </row>
    <row r="169" spans="1:6" ht="14.1" customHeight="1" x14ac:dyDescent="0.35">
      <c r="A169" s="220" t="s">
        <v>1739</v>
      </c>
      <c r="B169" s="217" t="s">
        <v>1742</v>
      </c>
      <c r="C169" s="218" t="s">
        <v>1563</v>
      </c>
      <c r="D169" s="215" t="s">
        <v>1563</v>
      </c>
      <c r="E169" s="221"/>
      <c r="F169" s="221"/>
    </row>
    <row r="170" spans="1:6" ht="14.1" customHeight="1" x14ac:dyDescent="0.35">
      <c r="A170" s="220" t="s">
        <v>1739</v>
      </c>
      <c r="B170" s="217" t="s">
        <v>1743</v>
      </c>
      <c r="C170" s="218"/>
      <c r="D170" s="215" t="s">
        <v>1563</v>
      </c>
      <c r="E170" s="221"/>
      <c r="F170" s="221"/>
    </row>
    <row r="171" spans="1:6" ht="14.1" customHeight="1" x14ac:dyDescent="0.35">
      <c r="A171" s="220" t="s">
        <v>1744</v>
      </c>
      <c r="B171" s="217" t="s">
        <v>1745</v>
      </c>
      <c r="C171" s="214" t="s">
        <v>1741</v>
      </c>
      <c r="D171" s="215" t="s">
        <v>1563</v>
      </c>
      <c r="E171" s="221" t="s">
        <v>1741</v>
      </c>
      <c r="F171" s="221" t="s">
        <v>1741</v>
      </c>
    </row>
    <row r="172" spans="1:6" ht="14.1" customHeight="1" x14ac:dyDescent="0.35">
      <c r="A172" s="212" t="s">
        <v>1746</v>
      </c>
      <c r="B172" s="213" t="s">
        <v>1747</v>
      </c>
      <c r="C172" s="214" t="s">
        <v>1741</v>
      </c>
      <c r="D172" s="215" t="s">
        <v>1563</v>
      </c>
      <c r="E172" s="221" t="s">
        <v>1741</v>
      </c>
      <c r="F172" s="221" t="s">
        <v>1741</v>
      </c>
    </row>
    <row r="173" spans="1:6" ht="14.1" customHeight="1" x14ac:dyDescent="0.35">
      <c r="A173" s="212" t="s">
        <v>1746</v>
      </c>
      <c r="B173" s="213" t="s">
        <v>1748</v>
      </c>
      <c r="C173" s="214" t="s">
        <v>1741</v>
      </c>
      <c r="D173" s="215" t="s">
        <v>1563</v>
      </c>
      <c r="E173" s="221" t="s">
        <v>1741</v>
      </c>
      <c r="F173" s="221" t="s">
        <v>1741</v>
      </c>
    </row>
    <row r="174" spans="1:6" ht="14.1" customHeight="1" x14ac:dyDescent="0.35">
      <c r="A174" s="212" t="s">
        <v>1746</v>
      </c>
      <c r="B174" s="213" t="s">
        <v>1749</v>
      </c>
      <c r="C174" s="214"/>
      <c r="D174" s="215" t="s">
        <v>1563</v>
      </c>
      <c r="E174" s="216"/>
      <c r="F174" s="216"/>
    </row>
    <row r="175" spans="1:6" ht="14.1" customHeight="1" x14ac:dyDescent="0.35">
      <c r="A175" s="212" t="s">
        <v>1746</v>
      </c>
      <c r="B175" s="213" t="s">
        <v>1750</v>
      </c>
      <c r="C175" s="214"/>
      <c r="D175" s="215" t="s">
        <v>1563</v>
      </c>
      <c r="E175" s="216"/>
      <c r="F175" s="216"/>
    </row>
    <row r="176" spans="1:6" ht="14.1" customHeight="1" x14ac:dyDescent="0.35">
      <c r="A176" s="212" t="s">
        <v>1746</v>
      </c>
      <c r="B176" s="213" t="s">
        <v>1751</v>
      </c>
      <c r="C176" s="214" t="s">
        <v>1741</v>
      </c>
      <c r="D176" s="215" t="s">
        <v>1563</v>
      </c>
      <c r="E176" s="221" t="s">
        <v>1741</v>
      </c>
      <c r="F176" s="221" t="s">
        <v>1741</v>
      </c>
    </row>
    <row r="177" spans="1:6" ht="12" customHeight="1" x14ac:dyDescent="0.35">
      <c r="A177" s="222"/>
      <c r="B177" s="223"/>
      <c r="C177" s="223"/>
    </row>
    <row r="178" spans="1:6" ht="12" customHeight="1" x14ac:dyDescent="0.35">
      <c r="A178" s="224"/>
      <c r="B178" s="225"/>
      <c r="C178" s="225"/>
      <c r="D178" s="226"/>
      <c r="E178" s="226"/>
      <c r="F178" s="226"/>
    </row>
    <row r="179" spans="1:6" ht="12" customHeight="1" x14ac:dyDescent="0.35">
      <c r="A179" s="457"/>
      <c r="B179" s="457"/>
      <c r="C179" s="227"/>
      <c r="D179" s="228"/>
      <c r="E179" s="228"/>
      <c r="F179" s="228"/>
    </row>
    <row r="180" spans="1:6" ht="13.2" x14ac:dyDescent="0.35">
      <c r="A180" s="222"/>
      <c r="B180" s="223"/>
      <c r="C180" s="229"/>
    </row>
  </sheetData>
  <mergeCells count="2">
    <mergeCell ref="A1:F1"/>
    <mergeCell ref="A179:B179"/>
  </mergeCells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B13C-EB3D-494B-ABAF-656CC8253EF6}">
  <dimension ref="A1:C52"/>
  <sheetViews>
    <sheetView workbookViewId="0">
      <selection activeCell="B11" sqref="B11"/>
    </sheetView>
  </sheetViews>
  <sheetFormatPr defaultRowHeight="15" x14ac:dyDescent="0.35"/>
  <cols>
    <col min="1" max="1" width="24.08984375" customWidth="1"/>
    <col min="2" max="2" width="13.54296875" bestFit="1" customWidth="1"/>
    <col min="3" max="3" width="18.36328125" bestFit="1" customWidth="1"/>
  </cols>
  <sheetData>
    <row r="1" spans="1:3" ht="30" customHeight="1" x14ac:dyDescent="0.35">
      <c r="A1" s="458" t="s">
        <v>1752</v>
      </c>
      <c r="B1" s="458"/>
      <c r="C1" s="458"/>
    </row>
    <row r="2" spans="1:3" x14ac:dyDescent="0.35">
      <c r="A2" s="458"/>
      <c r="B2" s="458"/>
      <c r="C2" s="458"/>
    </row>
    <row r="3" spans="1:3" ht="15.6" x14ac:dyDescent="0.35">
      <c r="A3" s="346" t="s">
        <v>1753</v>
      </c>
      <c r="B3" s="347" t="s">
        <v>402</v>
      </c>
      <c r="C3" s="347" t="s">
        <v>1342</v>
      </c>
    </row>
    <row r="4" spans="1:3" x14ac:dyDescent="0.35">
      <c r="A4" s="348" t="s">
        <v>1754</v>
      </c>
      <c r="B4" s="348" t="s">
        <v>1755</v>
      </c>
      <c r="C4" s="348" t="s">
        <v>1756</v>
      </c>
    </row>
    <row r="5" spans="1:3" x14ac:dyDescent="0.35">
      <c r="A5" s="351" t="s">
        <v>1757</v>
      </c>
      <c r="B5" s="352" t="s">
        <v>1758</v>
      </c>
      <c r="C5" s="348" t="s">
        <v>1756</v>
      </c>
    </row>
    <row r="6" spans="1:3" x14ac:dyDescent="0.35">
      <c r="A6" s="351" t="s">
        <v>1759</v>
      </c>
      <c r="B6" s="352" t="s">
        <v>1760</v>
      </c>
      <c r="C6" s="348" t="s">
        <v>1756</v>
      </c>
    </row>
    <row r="7" spans="1:3" x14ac:dyDescent="0.35">
      <c r="A7" s="349"/>
      <c r="B7" s="349"/>
      <c r="C7" s="349"/>
    </row>
    <row r="8" spans="1:3" x14ac:dyDescent="0.35">
      <c r="A8" s="349" t="s">
        <v>1761</v>
      </c>
      <c r="B8" s="349" t="s">
        <v>1762</v>
      </c>
      <c r="C8" s="350" t="s">
        <v>1763</v>
      </c>
    </row>
    <row r="9" spans="1:3" x14ac:dyDescent="0.35">
      <c r="A9" s="349"/>
      <c r="B9" s="349"/>
      <c r="C9" s="349"/>
    </row>
    <row r="10" spans="1:3" x14ac:dyDescent="0.35">
      <c r="A10" s="345"/>
      <c r="B10" s="345"/>
      <c r="C10" s="345"/>
    </row>
    <row r="11" spans="1:3" x14ac:dyDescent="0.35">
      <c r="A11" s="345"/>
      <c r="B11" s="345"/>
      <c r="C11" s="345"/>
    </row>
    <row r="12" spans="1:3" x14ac:dyDescent="0.35">
      <c r="A12" s="345"/>
      <c r="B12" s="345"/>
      <c r="C12" s="345"/>
    </row>
    <row r="13" spans="1:3" x14ac:dyDescent="0.35">
      <c r="A13" s="345"/>
      <c r="B13" s="345"/>
      <c r="C13" s="345"/>
    </row>
    <row r="14" spans="1:3" x14ac:dyDescent="0.35">
      <c r="A14" s="345"/>
      <c r="B14" s="345"/>
      <c r="C14" s="345"/>
    </row>
    <row r="15" spans="1:3" x14ac:dyDescent="0.35">
      <c r="A15" s="345"/>
      <c r="B15" s="345"/>
      <c r="C15" s="345"/>
    </row>
    <row r="16" spans="1:3" x14ac:dyDescent="0.35">
      <c r="A16" s="345"/>
      <c r="B16" s="345"/>
      <c r="C16" s="345"/>
    </row>
    <row r="17" spans="1:3" x14ac:dyDescent="0.35">
      <c r="A17" s="345"/>
      <c r="B17" s="345"/>
      <c r="C17" s="345"/>
    </row>
    <row r="18" spans="1:3" x14ac:dyDescent="0.35">
      <c r="A18" s="345"/>
      <c r="B18" s="345"/>
      <c r="C18" s="345"/>
    </row>
    <row r="19" spans="1:3" x14ac:dyDescent="0.35">
      <c r="A19" s="345"/>
      <c r="B19" s="345"/>
      <c r="C19" s="345"/>
    </row>
    <row r="20" spans="1:3" x14ac:dyDescent="0.35">
      <c r="A20" s="345"/>
      <c r="B20" s="345"/>
      <c r="C20" s="345"/>
    </row>
    <row r="21" spans="1:3" x14ac:dyDescent="0.35">
      <c r="A21" s="345"/>
      <c r="B21" s="345"/>
      <c r="C21" s="345"/>
    </row>
    <row r="22" spans="1:3" x14ac:dyDescent="0.35">
      <c r="A22" s="345"/>
      <c r="B22" s="345"/>
      <c r="C22" s="345"/>
    </row>
    <row r="23" spans="1:3" x14ac:dyDescent="0.35">
      <c r="A23" s="345"/>
      <c r="B23" s="345"/>
      <c r="C23" s="345"/>
    </row>
    <row r="24" spans="1:3" x14ac:dyDescent="0.35">
      <c r="A24" s="345"/>
      <c r="B24" s="345"/>
      <c r="C24" s="345"/>
    </row>
    <row r="25" spans="1:3" x14ac:dyDescent="0.35">
      <c r="A25" s="345"/>
      <c r="B25" s="345"/>
      <c r="C25" s="345"/>
    </row>
    <row r="26" spans="1:3" x14ac:dyDescent="0.35">
      <c r="A26" s="345"/>
      <c r="B26" s="345"/>
      <c r="C26" s="345"/>
    </row>
    <row r="27" spans="1:3" x14ac:dyDescent="0.35">
      <c r="A27" s="345"/>
      <c r="B27" s="345"/>
      <c r="C27" s="345"/>
    </row>
    <row r="28" spans="1:3" x14ac:dyDescent="0.35">
      <c r="A28" s="345"/>
      <c r="B28" s="345"/>
      <c r="C28" s="345"/>
    </row>
    <row r="29" spans="1:3" x14ac:dyDescent="0.35">
      <c r="A29" s="345"/>
      <c r="B29" s="345"/>
      <c r="C29" s="345"/>
    </row>
    <row r="30" spans="1:3" x14ac:dyDescent="0.35">
      <c r="A30" s="345"/>
      <c r="B30" s="345"/>
      <c r="C30" s="345"/>
    </row>
    <row r="31" spans="1:3" x14ac:dyDescent="0.35">
      <c r="A31" s="345"/>
      <c r="B31" s="345"/>
      <c r="C31" s="345"/>
    </row>
    <row r="32" spans="1:3" x14ac:dyDescent="0.35">
      <c r="A32" s="345"/>
      <c r="B32" s="345"/>
      <c r="C32" s="345"/>
    </row>
    <row r="33" spans="1:3" x14ac:dyDescent="0.35">
      <c r="A33" s="345"/>
      <c r="B33" s="345"/>
      <c r="C33" s="345"/>
    </row>
    <row r="34" spans="1:3" x14ac:dyDescent="0.35">
      <c r="A34" s="345"/>
      <c r="B34" s="345"/>
      <c r="C34" s="345"/>
    </row>
    <row r="35" spans="1:3" x14ac:dyDescent="0.35">
      <c r="A35" s="345"/>
      <c r="B35" s="345"/>
      <c r="C35" s="345"/>
    </row>
    <row r="36" spans="1:3" x14ac:dyDescent="0.35">
      <c r="A36" s="345"/>
      <c r="B36" s="345"/>
      <c r="C36" s="345"/>
    </row>
    <row r="37" spans="1:3" x14ac:dyDescent="0.35">
      <c r="A37" s="345"/>
      <c r="B37" s="345"/>
      <c r="C37" s="345"/>
    </row>
    <row r="38" spans="1:3" x14ac:dyDescent="0.35">
      <c r="A38" s="345"/>
      <c r="B38" s="345"/>
      <c r="C38" s="345"/>
    </row>
    <row r="39" spans="1:3" x14ac:dyDescent="0.35">
      <c r="A39" s="345"/>
      <c r="B39" s="345"/>
      <c r="C39" s="345"/>
    </row>
    <row r="40" spans="1:3" x14ac:dyDescent="0.35">
      <c r="A40" s="345"/>
      <c r="B40" s="345"/>
      <c r="C40" s="345"/>
    </row>
    <row r="41" spans="1:3" x14ac:dyDescent="0.35">
      <c r="A41" s="345"/>
      <c r="B41" s="345"/>
      <c r="C41" s="345"/>
    </row>
    <row r="42" spans="1:3" x14ac:dyDescent="0.35">
      <c r="A42" s="345"/>
      <c r="B42" s="345"/>
      <c r="C42" s="345"/>
    </row>
    <row r="43" spans="1:3" x14ac:dyDescent="0.35">
      <c r="A43" s="345"/>
      <c r="B43" s="345"/>
      <c r="C43" s="345"/>
    </row>
    <row r="44" spans="1:3" x14ac:dyDescent="0.35">
      <c r="A44" s="345"/>
      <c r="B44" s="345"/>
      <c r="C44" s="345"/>
    </row>
    <row r="45" spans="1:3" x14ac:dyDescent="0.35">
      <c r="A45" s="345"/>
      <c r="B45" s="345"/>
      <c r="C45" s="345"/>
    </row>
    <row r="46" spans="1:3" x14ac:dyDescent="0.35">
      <c r="A46" s="345"/>
      <c r="B46" s="345"/>
      <c r="C46" s="345"/>
    </row>
    <row r="47" spans="1:3" x14ac:dyDescent="0.35">
      <c r="A47" s="345"/>
      <c r="B47" s="345"/>
      <c r="C47" s="345"/>
    </row>
    <row r="48" spans="1:3" x14ac:dyDescent="0.35">
      <c r="A48" s="345"/>
      <c r="B48" s="345"/>
      <c r="C48" s="345"/>
    </row>
    <row r="49" spans="1:3" x14ac:dyDescent="0.35">
      <c r="A49" s="345"/>
      <c r="B49" s="345"/>
      <c r="C49" s="345"/>
    </row>
    <row r="50" spans="1:3" x14ac:dyDescent="0.35">
      <c r="A50" s="345"/>
      <c r="B50" s="345"/>
      <c r="C50" s="345"/>
    </row>
    <row r="51" spans="1:3" x14ac:dyDescent="0.35">
      <c r="A51" s="345"/>
      <c r="B51" s="345"/>
      <c r="C51" s="345"/>
    </row>
    <row r="52" spans="1:3" x14ac:dyDescent="0.35">
      <c r="A52" s="345"/>
      <c r="B52" s="345"/>
      <c r="C52" s="345"/>
    </row>
  </sheetData>
  <mergeCells count="1">
    <mergeCell ref="A1:C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49A1BCAEF8EB4B818959FB1E3337E1" ma:contentTypeVersion="14" ma:contentTypeDescription="Crie um novo documento." ma:contentTypeScope="" ma:versionID="7b3d18ff716fa6dfdfd8781d8fbc8b29">
  <xsd:schema xmlns:xsd="http://www.w3.org/2001/XMLSchema" xmlns:xs="http://www.w3.org/2001/XMLSchema" xmlns:p="http://schemas.microsoft.com/office/2006/metadata/properties" xmlns:ns2="796d2198-4245-48f4-85fc-0a6599c61e21" xmlns:ns3="ff04d300-dbb7-4444-bc32-f66da3599bce" targetNamespace="http://schemas.microsoft.com/office/2006/metadata/properties" ma:root="true" ma:fieldsID="7f22d6704c230640d16547a48edfad6b" ns2:_="" ns3:_="">
    <xsd:import namespace="796d2198-4245-48f4-85fc-0a6599c61e21"/>
    <xsd:import namespace="ff04d300-dbb7-4444-bc32-f66da3599b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d2198-4245-48f4-85fc-0a6599c61e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b20a135-e177-4115-879f-90afb08e1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04d300-dbb7-4444-bc32-f66da3599bc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b9e6cd-0a01-44bc-bea6-58f9c80f8153}" ma:internalName="TaxCatchAll" ma:showField="CatchAllData" ma:web="ff04d300-dbb7-4444-bc32-f66da3599b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6d2198-4245-48f4-85fc-0a6599c61e21">
      <Terms xmlns="http://schemas.microsoft.com/office/infopath/2007/PartnerControls"/>
    </lcf76f155ced4ddcb4097134ff3c332f>
    <TaxCatchAll xmlns="ff04d300-dbb7-4444-bc32-f66da3599bce" xsi:nil="true"/>
  </documentManagement>
</p:properties>
</file>

<file path=customXml/itemProps1.xml><?xml version="1.0" encoding="utf-8"?>
<ds:datastoreItem xmlns:ds="http://schemas.openxmlformats.org/officeDocument/2006/customXml" ds:itemID="{3640E21F-B228-4428-90AC-9D4824426C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2DF14E-1544-497B-AF38-11947135E8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6d2198-4245-48f4-85fc-0a6599c61e21"/>
    <ds:schemaRef ds:uri="ff04d300-dbb7-4444-bc32-f66da3599b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98ED056-0DA5-4758-A58E-E1AB31DD02DB}">
  <ds:schemaRefs>
    <ds:schemaRef ds:uri="http://schemas.microsoft.com/office/2006/metadata/properties"/>
    <ds:schemaRef ds:uri="http://schemas.microsoft.com/office/infopath/2007/PartnerControls"/>
    <ds:schemaRef ds:uri="796d2198-4245-48f4-85fc-0a6599c61e21"/>
    <ds:schemaRef ds:uri="ff04d300-dbb7-4444-bc32-f66da3599b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TM02930030</Templat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NOTEBOOKS</vt:lpstr>
      <vt:lpstr>NOTEBOOKS MG</vt:lpstr>
      <vt:lpstr>STARLINKS</vt:lpstr>
      <vt:lpstr>COMPRAS - MG </vt:lpstr>
      <vt:lpstr>NOTEBOOKS INSTITUTO</vt:lpstr>
      <vt:lpstr>RELOGIO DE PONTO</vt:lpstr>
      <vt:lpstr>MOUSES</vt:lpstr>
      <vt:lpstr>ROTEADORES</vt:lpstr>
      <vt:lpstr>COMPRAS</vt:lpstr>
      <vt:lpstr>ENDEREÇOS MINAS</vt:lpstr>
      <vt:lpstr>IMPRESSORAS E TONERS</vt:lpstr>
      <vt:lpstr>EQUIPAMENTOS</vt:lpstr>
      <vt:lpstr>CFTV</vt:lpstr>
      <vt:lpstr>TELEVISORES</vt:lpstr>
      <vt:lpstr>CONTRATOS </vt:lpstr>
      <vt:lpstr>MONITORES SECUNDARIOS</vt:lpstr>
      <vt:lpstr>SENHAS</vt:lpstr>
      <vt:lpstr>MOBILE</vt:lpstr>
      <vt:lpstr>LINHAS INVENTARIO</vt:lpstr>
      <vt:lpstr>CHIPS NOVOS</vt:lpstr>
      <vt:lpstr>PILHAS</vt:lpstr>
      <vt:lpstr>DVR</vt:lpstr>
      <vt:lpstr>NUMEROS MG </vt:lpstr>
      <vt:lpstr>NOTEBOOKS MINAS</vt:lpstr>
      <vt:lpstr>SOFTWARE ENGENHARIA</vt:lpstr>
      <vt:lpstr>Domínios</vt:lpstr>
      <vt:lpstr>Lincenças SAP</vt:lpstr>
      <vt:lpstr>Projeto Go-Live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Suporte TI Avanço Construções</dc:creator>
  <cp:keywords/>
  <dc:description/>
  <cp:lastModifiedBy>Kennedy Monteiro de Lima</cp:lastModifiedBy>
  <cp:revision/>
  <dcterms:created xsi:type="dcterms:W3CDTF">2017-06-02T00:14:58Z</dcterms:created>
  <dcterms:modified xsi:type="dcterms:W3CDTF">2026-05-15T19:45:05Z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0x010100D849A1BCAEF8EB4B818959FB1E3337E1</vt:lpwstr>
  </property>
  <property fmtid="{D5CDD505-2E9C-101B-9397-08002B2CF9AE}" pid="3" name="MediaServiceImageTags">
    <vt:lpwstr/>
  </property>
</Properties>
</file>